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shp97/Desktop/"/>
    </mc:Choice>
  </mc:AlternateContent>
  <xr:revisionPtr revIDLastSave="0" documentId="13_ncr:1_{FCE6B1BE-C882-CA41-88EE-5A6870F9F5C7}" xr6:coauthVersionLast="45" xr6:coauthVersionMax="45" xr10:uidLastSave="{00000000-0000-0000-0000-000000000000}"/>
  <bookViews>
    <workbookView xWindow="2260" yWindow="460" windowWidth="25400" windowHeight="16100" tabRatio="500" activeTab="5" xr2:uid="{00000000-000D-0000-FFFF-FFFF00000000}"/>
  </bookViews>
  <sheets>
    <sheet name="Plan Calculation" sheetId="2" r:id="rId1"/>
    <sheet name="Calculator" sheetId="1" r:id="rId2"/>
    <sheet name="Block of Business" sheetId="4" r:id="rId3"/>
    <sheet name="All Payments" sheetId="3" r:id="rId4"/>
    <sheet name="Summaries" sheetId="5" r:id="rId5"/>
    <sheet name="Graph" sheetId="6" r:id="rId6"/>
  </sheets>
  <definedNames>
    <definedName name="_xlnm._FilterDatabase" localSheetId="2" hidden="1">'Block of Business'!$A$1:$E$101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A17" i="5" l="1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16" i="5"/>
  <c r="C7" i="5" l="1"/>
  <c r="D6" i="5"/>
  <c r="D7" i="5" s="1"/>
  <c r="A101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2" i="3"/>
  <c r="E29" i="2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K25" i="2"/>
  <c r="K26" i="2" s="1"/>
  <c r="K27" i="2" s="1"/>
  <c r="K28" i="2" s="1"/>
  <c r="K29" i="2" s="1"/>
  <c r="K30" i="2" s="1"/>
  <c r="K31" i="2" s="1"/>
  <c r="K32" i="2" s="1"/>
  <c r="K33" i="2" s="1"/>
  <c r="K34" i="2" s="1"/>
  <c r="K35" i="2" s="1"/>
  <c r="K36" i="2" s="1"/>
  <c r="K37" i="2" s="1"/>
  <c r="K38" i="2" s="1"/>
  <c r="K39" i="2" s="1"/>
  <c r="K40" i="2" s="1"/>
  <c r="K41" i="2" s="1"/>
  <c r="K42" i="2" s="1"/>
  <c r="K43" i="2" s="1"/>
  <c r="K44" i="2" s="1"/>
  <c r="K45" i="2" s="1"/>
  <c r="K46" i="2" s="1"/>
  <c r="K47" i="2" s="1"/>
  <c r="K48" i="2" s="1"/>
  <c r="K49" i="2" s="1"/>
  <c r="K50" i="2" s="1"/>
  <c r="K51" i="2" s="1"/>
  <c r="K52" i="2" s="1"/>
  <c r="K53" i="2" s="1"/>
  <c r="K54" i="2" s="1"/>
  <c r="K55" i="2" s="1"/>
  <c r="K56" i="2" s="1"/>
  <c r="K57" i="2" s="1"/>
  <c r="K58" i="2" s="1"/>
  <c r="K59" i="2" s="1"/>
  <c r="K60" i="2" s="1"/>
  <c r="K61" i="2" s="1"/>
  <c r="K62" i="2" s="1"/>
  <c r="K63" i="2" s="1"/>
  <c r="K24" i="2"/>
  <c r="E9" i="1"/>
  <c r="E6" i="5" l="1"/>
  <c r="F6" i="5" s="1"/>
  <c r="E7" i="5"/>
  <c r="J18" i="1"/>
  <c r="E10" i="1"/>
  <c r="G6" i="5" l="1"/>
  <c r="F7" i="5"/>
  <c r="J13" i="1"/>
  <c r="G9" i="1"/>
  <c r="G10" i="1"/>
  <c r="E11" i="1"/>
  <c r="G11" i="1" l="1"/>
  <c r="H6" i="5"/>
  <c r="G7" i="5"/>
  <c r="E12" i="1"/>
  <c r="G12" i="1" s="1"/>
  <c r="H7" i="5" l="1"/>
  <c r="I6" i="5"/>
  <c r="I7" i="5" s="1"/>
  <c r="E13" i="1"/>
  <c r="G13" i="1" s="1"/>
  <c r="E14" i="1" l="1"/>
  <c r="G14" i="1" s="1"/>
  <c r="E15" i="1" l="1"/>
  <c r="G15" i="1" s="1"/>
  <c r="E16" i="1" l="1"/>
  <c r="G16" i="1" s="1"/>
  <c r="E17" i="1" l="1"/>
  <c r="G17" i="1" s="1"/>
  <c r="E18" i="1" l="1"/>
  <c r="G18" i="1" s="1"/>
  <c r="E19" i="1" l="1"/>
  <c r="G19" i="1" s="1"/>
  <c r="E20" i="1" l="1"/>
  <c r="G20" i="1" s="1"/>
  <c r="E21" i="1" l="1"/>
  <c r="G21" i="1" s="1"/>
  <c r="E22" i="1" l="1"/>
  <c r="G22" i="1" s="1"/>
  <c r="E23" i="1" l="1"/>
  <c r="G23" i="1" s="1"/>
  <c r="E24" i="1" l="1"/>
  <c r="G24" i="1" s="1"/>
  <c r="E25" i="1" l="1"/>
  <c r="G25" i="1" s="1"/>
  <c r="E26" i="1" l="1"/>
  <c r="G26" i="1" s="1"/>
  <c r="E27" i="1" l="1"/>
  <c r="G27" i="1" s="1"/>
  <c r="E28" i="1" l="1"/>
  <c r="G28" i="1" s="1"/>
  <c r="E29" i="1" l="1"/>
  <c r="G29" i="1" s="1"/>
  <c r="E30" i="1" l="1"/>
  <c r="G30" i="1" s="1"/>
  <c r="E31" i="1" l="1"/>
  <c r="G31" i="1" s="1"/>
  <c r="E32" i="1" l="1"/>
  <c r="G32" i="1" s="1"/>
  <c r="E33" i="1" l="1"/>
  <c r="G33" i="1" s="1"/>
  <c r="E34" i="1" l="1"/>
  <c r="G34" i="1" s="1"/>
  <c r="E35" i="1" l="1"/>
  <c r="G35" i="1" s="1"/>
  <c r="E36" i="1" l="1"/>
  <c r="G36" i="1" s="1"/>
  <c r="E37" i="1" l="1"/>
  <c r="G37" i="1" s="1"/>
  <c r="E38" i="1" l="1"/>
  <c r="G38" i="1" s="1"/>
  <c r="E39" i="1" l="1"/>
  <c r="G39" i="1" s="1"/>
  <c r="E40" i="1" l="1"/>
  <c r="G40" i="1" s="1"/>
  <c r="E41" i="1" l="1"/>
  <c r="G41" i="1" s="1"/>
  <c r="E42" i="1" l="1"/>
  <c r="G42" i="1" s="1"/>
  <c r="E43" i="1" l="1"/>
  <c r="G43" i="1" s="1"/>
  <c r="E44" i="1" l="1"/>
  <c r="G44" i="1" s="1"/>
  <c r="E45" i="1" l="1"/>
  <c r="G45" i="1" s="1"/>
  <c r="E46" i="1" l="1"/>
  <c r="G46" i="1" s="1"/>
  <c r="E47" i="1" l="1"/>
  <c r="G47" i="1" s="1"/>
  <c r="E48" i="1" l="1"/>
  <c r="G48" i="1" s="1"/>
  <c r="E49" i="1" l="1"/>
  <c r="G49" i="1" s="1"/>
  <c r="E50" i="1" l="1"/>
  <c r="G50" i="1" s="1"/>
  <c r="E51" i="1" l="1"/>
  <c r="G51" i="1" s="1"/>
  <c r="E52" i="1" l="1"/>
  <c r="G52" i="1" s="1"/>
  <c r="E53" i="1" l="1"/>
  <c r="G53" i="1" s="1"/>
  <c r="E54" i="1" l="1"/>
  <c r="G54" i="1" s="1"/>
  <c r="E55" i="1" l="1"/>
  <c r="G55" i="1" s="1"/>
  <c r="E56" i="1" l="1"/>
  <c r="G56" i="1" s="1"/>
  <c r="E57" i="1" l="1"/>
  <c r="G57" i="1" s="1"/>
  <c r="E58" i="1" l="1"/>
  <c r="G58" i="1" s="1"/>
  <c r="E59" i="1" l="1"/>
  <c r="G59" i="1" s="1"/>
  <c r="E60" i="1" l="1"/>
  <c r="G60" i="1" s="1"/>
  <c r="E61" i="1" l="1"/>
  <c r="G61" i="1" s="1"/>
  <c r="E62" i="1" l="1"/>
  <c r="G62" i="1" s="1"/>
  <c r="E63" i="1" l="1"/>
  <c r="G63" i="1" s="1"/>
  <c r="E64" i="1" l="1"/>
  <c r="G64" i="1" s="1"/>
  <c r="E65" i="1" l="1"/>
  <c r="G65" i="1" s="1"/>
  <c r="E66" i="1" l="1"/>
  <c r="G66" i="1" s="1"/>
  <c r="E67" i="1" l="1"/>
  <c r="G67" i="1" s="1"/>
  <c r="E68" i="1" l="1"/>
  <c r="G68" i="1" s="1"/>
  <c r="E69" i="1" l="1"/>
  <c r="G69" i="1" s="1"/>
  <c r="E70" i="1" l="1"/>
  <c r="G70" i="1" s="1"/>
  <c r="E71" i="1" l="1"/>
  <c r="G71" i="1" s="1"/>
  <c r="E72" i="1" l="1"/>
  <c r="G72" i="1" s="1"/>
  <c r="E73" i="1" l="1"/>
  <c r="G73" i="1" s="1"/>
  <c r="E74" i="1" l="1"/>
  <c r="G74" i="1" s="1"/>
  <c r="E75" i="1" l="1"/>
  <c r="G75" i="1" s="1"/>
  <c r="E76" i="1" l="1"/>
  <c r="G76" i="1" s="1"/>
  <c r="E77" i="1" l="1"/>
  <c r="G77" i="1" s="1"/>
  <c r="E78" i="1" l="1"/>
  <c r="G78" i="1" s="1"/>
  <c r="E79" i="1" l="1"/>
  <c r="G79" i="1" l="1"/>
  <c r="J9" i="1" s="1"/>
</calcChain>
</file>

<file path=xl/sharedStrings.xml><?xml version="1.0" encoding="utf-8"?>
<sst xmlns="http://schemas.openxmlformats.org/spreadsheetml/2006/main" count="220" uniqueCount="197">
  <si>
    <t>ILLUSTRATION TOOL</t>
  </si>
  <si>
    <t>For Agent Use Only</t>
  </si>
  <si>
    <t>Plan Selection</t>
  </si>
  <si>
    <t>Age</t>
  </si>
  <si>
    <t>Year</t>
  </si>
  <si>
    <t>Expected Annuity Payment</t>
  </si>
  <si>
    <t>Total Payment</t>
  </si>
  <si>
    <t>Plan # 1</t>
  </si>
  <si>
    <t>Current Age</t>
  </si>
  <si>
    <t>Total Years of Payment</t>
  </si>
  <si>
    <t>Age Payment Begins</t>
  </si>
  <si>
    <t>Age of Last Payment</t>
  </si>
  <si>
    <t>Years of Payment</t>
  </si>
  <si>
    <t>Plan # 2</t>
  </si>
  <si>
    <t>Plan # 3</t>
  </si>
  <si>
    <t>Plan # 4</t>
  </si>
  <si>
    <t>Plan #5</t>
  </si>
  <si>
    <t>Plan # 6</t>
  </si>
  <si>
    <t>-</t>
  </si>
  <si>
    <t>Client # 100</t>
  </si>
  <si>
    <t>Client # 99</t>
  </si>
  <si>
    <t>Client # 98</t>
  </si>
  <si>
    <t>Client # 97</t>
  </si>
  <si>
    <t>Client # 96</t>
  </si>
  <si>
    <t>Client # 95</t>
  </si>
  <si>
    <t>Client # 94</t>
  </si>
  <si>
    <t>Client # 93</t>
  </si>
  <si>
    <t>Client # 92</t>
  </si>
  <si>
    <t>Client # 91</t>
  </si>
  <si>
    <t>Client # 90</t>
  </si>
  <si>
    <t>Client # 89</t>
  </si>
  <si>
    <t>Client # 88</t>
  </si>
  <si>
    <t>Client # 87</t>
  </si>
  <si>
    <t>Client # 86</t>
  </si>
  <si>
    <t>Client # 85</t>
  </si>
  <si>
    <t>Client # 84</t>
  </si>
  <si>
    <t>Client # 83</t>
  </si>
  <si>
    <t>Client # 82</t>
  </si>
  <si>
    <t>Client # 81</t>
  </si>
  <si>
    <t>Client # 80</t>
  </si>
  <si>
    <t>Client # 79</t>
  </si>
  <si>
    <t>Client # 78</t>
  </si>
  <si>
    <t>Client # 77</t>
  </si>
  <si>
    <t>Client # 76</t>
  </si>
  <si>
    <t>Client # 75</t>
  </si>
  <si>
    <t>Client # 74</t>
  </si>
  <si>
    <t>Client # 73</t>
  </si>
  <si>
    <t>Client # 72</t>
  </si>
  <si>
    <t>Client # 71</t>
  </si>
  <si>
    <t>Client # 70</t>
  </si>
  <si>
    <t>Client # 69</t>
  </si>
  <si>
    <t>Client # 68</t>
  </si>
  <si>
    <t>Client # 67</t>
  </si>
  <si>
    <t>Client # 66</t>
  </si>
  <si>
    <t>Client # 65</t>
  </si>
  <si>
    <t>Client # 64</t>
  </si>
  <si>
    <t>Client # 63</t>
  </si>
  <si>
    <t>Client # 62</t>
  </si>
  <si>
    <t>Client # 61</t>
  </si>
  <si>
    <t>Client # 60</t>
  </si>
  <si>
    <t>Client # 59</t>
  </si>
  <si>
    <t>Client # 58</t>
  </si>
  <si>
    <t>Client # 57</t>
  </si>
  <si>
    <t>Client # 56</t>
  </si>
  <si>
    <t>Client # 55</t>
  </si>
  <si>
    <t>Client # 54</t>
  </si>
  <si>
    <t>Client # 53</t>
  </si>
  <si>
    <t>Client # 52</t>
  </si>
  <si>
    <t>Client # 51</t>
  </si>
  <si>
    <t>Client # 50</t>
  </si>
  <si>
    <t>Client # 49</t>
  </si>
  <si>
    <t>Client # 48</t>
  </si>
  <si>
    <t>Client # 47</t>
  </si>
  <si>
    <t>Client # 46</t>
  </si>
  <si>
    <t>Client # 45</t>
  </si>
  <si>
    <t>Client # 44</t>
  </si>
  <si>
    <t>Client # 43</t>
  </si>
  <si>
    <t>Client # 42</t>
  </si>
  <si>
    <t>Client # 41</t>
  </si>
  <si>
    <t>Client # 40</t>
  </si>
  <si>
    <t>Client # 39</t>
  </si>
  <si>
    <t>Client # 38</t>
  </si>
  <si>
    <t>Client # 37</t>
  </si>
  <si>
    <t>Client # 36</t>
  </si>
  <si>
    <t>Client # 35</t>
  </si>
  <si>
    <t>Client # 34</t>
  </si>
  <si>
    <t>Client # 33</t>
  </si>
  <si>
    <t>Client # 32</t>
  </si>
  <si>
    <t>Client # 31</t>
  </si>
  <si>
    <t>Client # 30</t>
  </si>
  <si>
    <t>Client # 29</t>
  </si>
  <si>
    <t>Client # 28</t>
  </si>
  <si>
    <t>Client # 27</t>
  </si>
  <si>
    <t>Client # 26</t>
  </si>
  <si>
    <t>Client # 25</t>
  </si>
  <si>
    <t>Client # 24</t>
  </si>
  <si>
    <t>Client # 23</t>
  </si>
  <si>
    <t>Client # 22</t>
  </si>
  <si>
    <t>Client # 21</t>
  </si>
  <si>
    <t>Client # 20</t>
  </si>
  <si>
    <t>Client # 19</t>
  </si>
  <si>
    <t>Client # 18</t>
  </si>
  <si>
    <t>Client # 17</t>
  </si>
  <si>
    <t>Client # 16</t>
  </si>
  <si>
    <t>Client # 15</t>
  </si>
  <si>
    <t>Client # 14</t>
  </si>
  <si>
    <t>Client # 13</t>
  </si>
  <si>
    <t>Client # 12</t>
  </si>
  <si>
    <t>Client # 11</t>
  </si>
  <si>
    <t>Client # 10</t>
  </si>
  <si>
    <t>Client # 9</t>
  </si>
  <si>
    <t>Client # 8</t>
  </si>
  <si>
    <t>Client # 7</t>
  </si>
  <si>
    <t>Client # 6</t>
  </si>
  <si>
    <t>Client # 5</t>
  </si>
  <si>
    <t>Client # 4</t>
  </si>
  <si>
    <t>Client # 3</t>
  </si>
  <si>
    <t>Client # 2</t>
  </si>
  <si>
    <t>Client # 1</t>
  </si>
  <si>
    <t>Age Payments Begin</t>
  </si>
  <si>
    <t>Plan #</t>
  </si>
  <si>
    <t>Client Name</t>
  </si>
  <si>
    <t xml:space="preserve">Plan </t>
  </si>
  <si>
    <t>Total Payments</t>
  </si>
  <si>
    <t>Plan # 5</t>
  </si>
  <si>
    <t>Plan # 7</t>
  </si>
  <si>
    <t>Total Payments by Year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</si>
  <si>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</si>
  <si>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</si>
  <si>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</si>
  <si>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</si>
  <si>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</si>
  <si>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</si>
  <si>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</si>
  <si>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</si>
  <si>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</si>
  <si>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</si>
  <si>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Year 11</t>
  </si>
  <si>
    <t>Year 12</t>
  </si>
  <si>
    <t>Year 13</t>
  </si>
  <si>
    <t>Year 14</t>
  </si>
  <si>
    <t>Year 15</t>
  </si>
  <si>
    <t>Year 16</t>
  </si>
  <si>
    <t>Year 17</t>
  </si>
  <si>
    <t>Year 18</t>
  </si>
  <si>
    <t>Year 19</t>
  </si>
  <si>
    <t>Year 20</t>
  </si>
  <si>
    <t>Year 21</t>
  </si>
  <si>
    <t>Year 22</t>
  </si>
  <si>
    <t>Year 23</t>
  </si>
  <si>
    <t>Year 24</t>
  </si>
  <si>
    <t>Year 25</t>
  </si>
  <si>
    <t>Year 26</t>
  </si>
  <si>
    <t>Year 27</t>
  </si>
  <si>
    <t>Year 28</t>
  </si>
  <si>
    <t>Year 29</t>
  </si>
  <si>
    <t>Year 30</t>
  </si>
  <si>
    <t>Year 31</t>
  </si>
  <si>
    <t>Year 32</t>
  </si>
  <si>
    <t>Year 33</t>
  </si>
  <si>
    <t>Year 34</t>
  </si>
  <si>
    <t>Year 35</t>
  </si>
  <si>
    <t>Year 36</t>
  </si>
  <si>
    <t>Year 37</t>
  </si>
  <si>
    <t>Year 38</t>
  </si>
  <si>
    <t>Year 39</t>
  </si>
  <si>
    <t>Year 40</t>
  </si>
  <si>
    <t>Year 41</t>
  </si>
  <si>
    <t>Year 42</t>
  </si>
  <si>
    <t>Year 43</t>
  </si>
  <si>
    <t>Year 44</t>
  </si>
  <si>
    <t>Year 45</t>
  </si>
  <si>
    <t>Year 46</t>
  </si>
  <si>
    <t>Year 47</t>
  </si>
  <si>
    <t>Year 48</t>
  </si>
  <si>
    <t>Year 49</t>
  </si>
  <si>
    <t>Year 50</t>
  </si>
  <si>
    <t>Year 51</t>
  </si>
  <si>
    <t>Year 52</t>
  </si>
  <si>
    <t>Year 53</t>
  </si>
  <si>
    <t>Year 54</t>
  </si>
  <si>
    <t>Year 55</t>
  </si>
  <si>
    <t>Year 56</t>
  </si>
  <si>
    <t>Year 57</t>
  </si>
  <si>
    <t>Year 58</t>
  </si>
  <si>
    <t>Year 59</t>
  </si>
  <si>
    <t>Year 60</t>
  </si>
  <si>
    <t>Year 61</t>
  </si>
  <si>
    <t>Year 62</t>
  </si>
  <si>
    <t>Year 63</t>
  </si>
  <si>
    <t>Year 64</t>
  </si>
  <si>
    <t>Year 65</t>
  </si>
  <si>
    <t>Year 66</t>
  </si>
  <si>
    <t>Year 67</t>
  </si>
  <si>
    <t>Year 68</t>
  </si>
  <si>
    <t>Year 69</t>
  </si>
  <si>
    <t>Year 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</si>
</sst>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[$$-409]#,##0.00;[Red]\-[$$-409]#,##0.00"/>
    <numFmt numFmtId="165" formatCode="0.0"/>
  </numFmts>
  <fonts count="9" x14ac:knownFonts="1">
    <font>
      <sz val="10"/>
      <name val="Arial"/>
      <family val="2"/>
      <charset val="1"/>
    </font>
    <font>
      <sz val="10"/>
      <name val="Arial"/>
      <family val="2"/>
    </font>
    <font>
      <sz val="22"/>
      <name val="Arial"/>
      <family val="2"/>
      <charset val="1"/>
    </font>
    <font>
      <b/>
      <sz val="10"/>
      <name val="Arial"/>
      <family val="2"/>
      <charset val="1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8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81D41A"/>
        <bgColor rgb="FF969696"/>
      </patternFill>
    </fill>
    <fill>
      <patternFill patternType="solid">
        <fgColor rgb="FF05C7E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44" fontId="1" fillId="0" borderId="0" applyBorder="0" applyAlignment="0" applyProtection="0"/>
    <xf numFmtId="0" fontId="4" fillId="0" borderId="0"/>
  </cellStyleXfs>
  <cellXfs count="36">
    <xf numFmtId="0" fontId="0" fillId="0" borderId="0" xfId="0"/>
    <xf numFmtId="164" fontId="0" fillId="0" borderId="0" xfId="0" applyNumberFormat="1"/>
    <xf numFmtId="0" fontId="3" fillId="2" borderId="1" xfId="0" applyFont="1" applyFill="1" applyBorder="1"/>
    <xf numFmtId="0" fontId="3" fillId="3" borderId="1" xfId="0" applyFont="1" applyFill="1" applyBorder="1"/>
    <xf numFmtId="164" fontId="3" fillId="3" borderId="1" xfId="0" applyNumberFormat="1" applyFont="1" applyFill="1" applyBorder="1"/>
    <xf numFmtId="0" fontId="3" fillId="2" borderId="2" xfId="0" applyFont="1" applyFill="1" applyBorder="1"/>
    <xf numFmtId="0" fontId="0" fillId="0" borderId="1" xfId="0" applyFont="1" applyBorder="1"/>
    <xf numFmtId="0" fontId="0" fillId="0" borderId="1" xfId="0" applyBorder="1"/>
    <xf numFmtId="164" fontId="0" fillId="0" borderId="1" xfId="0" applyNumberFormat="1" applyBorder="1"/>
    <xf numFmtId="164" fontId="0" fillId="0" borderId="2" xfId="0" applyNumberFormat="1" applyBorder="1"/>
    <xf numFmtId="0" fontId="0" fillId="0" borderId="2" xfId="0" applyBorder="1"/>
    <xf numFmtId="0" fontId="0" fillId="0" borderId="2" xfId="0" applyBorder="1"/>
    <xf numFmtId="0" fontId="0" fillId="0" borderId="2" xfId="0" applyBorder="1" applyAlignment="1">
      <alignment horizontal="right"/>
    </xf>
    <xf numFmtId="165" fontId="0" fillId="0" borderId="0" xfId="0" applyNumberFormat="1"/>
    <xf numFmtId="0" fontId="4" fillId="0" borderId="0" xfId="2"/>
    <xf numFmtId="0" fontId="5" fillId="0" borderId="1" xfId="2" applyFont="1" applyBorder="1"/>
    <xf numFmtId="0" fontId="4" fillId="0" borderId="1" xfId="2" applyBorder="1"/>
    <xf numFmtId="0" fontId="6" fillId="4" borderId="1" xfId="2" applyFont="1" applyFill="1" applyBorder="1" applyAlignment="1">
      <alignment horizontal="center"/>
    </xf>
    <xf numFmtId="0" fontId="7" fillId="5" borderId="1" xfId="0" applyFont="1" applyFill="1" applyBorder="1"/>
    <xf numFmtId="44" fontId="1" fillId="0" borderId="1" xfId="1" applyBorder="1"/>
    <xf numFmtId="44" fontId="0" fillId="0" borderId="0" xfId="0" applyNumberFormat="1"/>
    <xf numFmtId="0" fontId="1" fillId="0" borderId="0" xfId="0" applyFont="1" applyBorder="1"/>
    <xf numFmtId="0" fontId="0" fillId="0" borderId="0" xfId="0" applyBorder="1"/>
    <xf numFmtId="0" fontId="0" fillId="7" borderId="3" xfId="0" applyFill="1" applyBorder="1"/>
    <xf numFmtId="0" fontId="7" fillId="6" borderId="4" xfId="0" applyFont="1" applyFill="1" applyBorder="1"/>
    <xf numFmtId="0" fontId="7" fillId="6" borderId="5" xfId="0" applyFont="1" applyFill="1" applyBorder="1"/>
    <xf numFmtId="0" fontId="7" fillId="7" borderId="6" xfId="0" applyFont="1" applyFill="1" applyBorder="1"/>
    <xf numFmtId="0" fontId="7" fillId="6" borderId="1" xfId="0" applyFont="1" applyFill="1" applyBorder="1"/>
    <xf numFmtId="0" fontId="7" fillId="8" borderId="1" xfId="0" applyFont="1" applyFill="1" applyBorder="1"/>
    <xf numFmtId="0" fontId="7" fillId="9" borderId="7" xfId="0" applyFont="1" applyFill="1" applyBorder="1"/>
    <xf numFmtId="7" fontId="1" fillId="0" borderId="1" xfId="1" applyNumberFormat="1" applyBorder="1"/>
    <xf numFmtId="7" fontId="1" fillId="0" borderId="0" xfId="0" applyNumberFormat="1" applyFont="1" applyBorder="1"/>
    <xf numFmtId="7" fontId="1" fillId="0" borderId="0" xfId="1" applyNumberFormat="1" applyBorder="1"/>
    <xf numFmtId="7" fontId="0" fillId="0" borderId="0" xfId="0" applyNumberFormat="1"/>
    <xf numFmtId="0" fontId="2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</cellXfs>
  <cellStyles count="3">
    <cellStyle name="Currency" xfId="1" builtinId="4"/>
    <cellStyle name="Normal" xfId="0" builtinId="0"/>
    <cellStyle name="Normal 2" xfId="2" xr:uid="{CA622A04-B817-2F40-B216-BB25093DFF5E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81D41A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Payments</a:t>
            </a:r>
            <a:r>
              <a:rPr lang="en-US" baseline="0"/>
              <a:t> by Plan #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233136482939632"/>
          <c:y val="0.16708333333333336"/>
          <c:w val="0.75877974628171474"/>
          <c:h val="0.720887649460484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Summaries!$B$7</c:f>
              <c:strCache>
                <c:ptCount val="1"/>
                <c:pt idx="0">
                  <c:v>Total Payments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Summaries!$C$6:$I$6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Summaries!$C$7:$I$7</c:f>
              <c:numCache>
                <c:formatCode>_("$"* #,##0.00_);_("$"* \(#,##0.00\);_("$"* "-"??_);_(@_)</c:formatCode>
                <c:ptCount val="7"/>
                <c:pt idx="0">
                  <c:v>4110000</c:v>
                </c:pt>
                <c:pt idx="1">
                  <c:v>19853000</c:v>
                </c:pt>
                <c:pt idx="2">
                  <c:v>7927200</c:v>
                </c:pt>
                <c:pt idx="3">
                  <c:v>29274000</c:v>
                </c:pt>
                <c:pt idx="4">
                  <c:v>2897000</c:v>
                </c:pt>
                <c:pt idx="5">
                  <c:v>500000</c:v>
                </c:pt>
                <c:pt idx="6">
                  <c:v>2910000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5E-504A-B121-A3BD35F03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995343"/>
        <c:axId val="108138543"/>
      </c:barChart>
      <c:catAx>
        <c:axId val="108995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138543"/>
        <c:crosses val="autoZero"/>
        <c:auto val="1"/>
        <c:lblAlgn val="ctr"/>
        <c:lblOffset val="100"/>
        <c:noMultiLvlLbl val="0"/>
      </c:catAx>
      <c:valAx>
        <c:axId val="108138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9953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Payments by Year by Plan #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'All Payments'!$G$1</c:f>
              <c:strCache>
                <c:ptCount val="1"/>
                <c:pt idx="0">
                  <c:v>Plan #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'All Payments'!$F$2:$F$71</c:f>
              <c:strCache>
                <c:ptCount val="7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  <c:pt idx="20">
                  <c:v>Year 21</c:v>
                </c:pt>
                <c:pt idx="21">
                  <c:v>Year 22</c:v>
                </c:pt>
                <c:pt idx="22">
                  <c:v>Year 23</c:v>
                </c:pt>
                <c:pt idx="23">
                  <c:v>Year 24</c:v>
                </c:pt>
                <c:pt idx="24">
                  <c:v>Year 25</c:v>
                </c:pt>
                <c:pt idx="25">
                  <c:v>Year 26</c:v>
                </c:pt>
                <c:pt idx="26">
                  <c:v>Year 27</c:v>
                </c:pt>
                <c:pt idx="27">
                  <c:v>Year 28</c:v>
                </c:pt>
                <c:pt idx="28">
                  <c:v>Year 29</c:v>
                </c:pt>
                <c:pt idx="29">
                  <c:v>Year 30</c:v>
                </c:pt>
                <c:pt idx="30">
                  <c:v>Year 31</c:v>
                </c:pt>
                <c:pt idx="31">
                  <c:v>Year 32</c:v>
                </c:pt>
                <c:pt idx="32">
                  <c:v>Year 33</c:v>
                </c:pt>
                <c:pt idx="33">
                  <c:v>Year 34</c:v>
                </c:pt>
                <c:pt idx="34">
                  <c:v>Year 35</c:v>
                </c:pt>
                <c:pt idx="35">
                  <c:v>Year 36</c:v>
                </c:pt>
                <c:pt idx="36">
                  <c:v>Year 37</c:v>
                </c:pt>
                <c:pt idx="37">
                  <c:v>Year 38</c:v>
                </c:pt>
                <c:pt idx="38">
                  <c:v>Year 39</c:v>
                </c:pt>
                <c:pt idx="39">
                  <c:v>Year 40</c:v>
                </c:pt>
                <c:pt idx="40">
                  <c:v>Year 41</c:v>
                </c:pt>
                <c:pt idx="41">
                  <c:v>Year 42</c:v>
                </c:pt>
                <c:pt idx="42">
                  <c:v>Year 43</c:v>
                </c:pt>
                <c:pt idx="43">
                  <c:v>Year 44</c:v>
                </c:pt>
                <c:pt idx="44">
                  <c:v>Year 45</c:v>
                </c:pt>
                <c:pt idx="45">
                  <c:v>Year 46</c:v>
                </c:pt>
                <c:pt idx="46">
                  <c:v>Year 47</c:v>
                </c:pt>
                <c:pt idx="47">
                  <c:v>Year 48</c:v>
                </c:pt>
                <c:pt idx="48">
                  <c:v>Year 49</c:v>
                </c:pt>
                <c:pt idx="49">
                  <c:v>Year 50</c:v>
                </c:pt>
                <c:pt idx="50">
                  <c:v>Year 51</c:v>
                </c:pt>
                <c:pt idx="51">
                  <c:v>Year 52</c:v>
                </c:pt>
                <c:pt idx="52">
                  <c:v>Year 53</c:v>
                </c:pt>
                <c:pt idx="53">
                  <c:v>Year 54</c:v>
                </c:pt>
                <c:pt idx="54">
                  <c:v>Year 55</c:v>
                </c:pt>
                <c:pt idx="55">
                  <c:v>Year 56</c:v>
                </c:pt>
                <c:pt idx="56">
                  <c:v>Year 57</c:v>
                </c:pt>
                <c:pt idx="57">
                  <c:v>Year 58</c:v>
                </c:pt>
                <c:pt idx="58">
                  <c:v>Year 59</c:v>
                </c:pt>
                <c:pt idx="59">
                  <c:v>Year 60</c:v>
                </c:pt>
                <c:pt idx="60">
                  <c:v>Year 61</c:v>
                </c:pt>
                <c:pt idx="61">
                  <c:v>Year 62</c:v>
                </c:pt>
                <c:pt idx="62">
                  <c:v>Year 63</c:v>
                </c:pt>
                <c:pt idx="63">
                  <c:v>Year 64</c:v>
                </c:pt>
                <c:pt idx="64">
                  <c:v>Year 65</c:v>
                </c:pt>
                <c:pt idx="65">
                  <c:v>Year 66</c:v>
                </c:pt>
                <c:pt idx="66">
                  <c:v>Year 67</c:v>
                </c:pt>
                <c:pt idx="67">
                  <c:v>Year 68</c:v>
                </c:pt>
                <c:pt idx="68">
                  <c:v>Year 69</c:v>
                </c:pt>
                <c:pt idx="69">
                  <c:v>Year 70</c:v>
                </c:pt>
              </c:strCache>
            </c:strRef>
          </c:cat>
          <c:val>
            <c:numRef>
              <c:f>'All Payments'!$G$2:$G$71</c:f>
              <c:numCache>
                <c:formatCode>"$"#,##0.00_);\("$"#,##0.00\)</c:formatCode>
                <c:ptCount val="70"/>
                <c:pt idx="0">
                  <c:v>15000</c:v>
                </c:pt>
                <c:pt idx="1">
                  <c:v>75000</c:v>
                </c:pt>
                <c:pt idx="2">
                  <c:v>75000</c:v>
                </c:pt>
                <c:pt idx="3">
                  <c:v>105000</c:v>
                </c:pt>
                <c:pt idx="4">
                  <c:v>105000</c:v>
                </c:pt>
                <c:pt idx="5">
                  <c:v>105000</c:v>
                </c:pt>
                <c:pt idx="6">
                  <c:v>150000</c:v>
                </c:pt>
                <c:pt idx="7">
                  <c:v>150000</c:v>
                </c:pt>
                <c:pt idx="8">
                  <c:v>150000</c:v>
                </c:pt>
                <c:pt idx="9">
                  <c:v>195000</c:v>
                </c:pt>
                <c:pt idx="10">
                  <c:v>240000</c:v>
                </c:pt>
                <c:pt idx="11">
                  <c:v>240000</c:v>
                </c:pt>
                <c:pt idx="12">
                  <c:v>225000</c:v>
                </c:pt>
                <c:pt idx="13">
                  <c:v>240000</c:v>
                </c:pt>
                <c:pt idx="14">
                  <c:v>240000</c:v>
                </c:pt>
                <c:pt idx="15">
                  <c:v>240000</c:v>
                </c:pt>
                <c:pt idx="16">
                  <c:v>225000</c:v>
                </c:pt>
                <c:pt idx="17">
                  <c:v>210000</c:v>
                </c:pt>
                <c:pt idx="18">
                  <c:v>180000</c:v>
                </c:pt>
                <c:pt idx="19">
                  <c:v>150000</c:v>
                </c:pt>
                <c:pt idx="20">
                  <c:v>135000</c:v>
                </c:pt>
                <c:pt idx="21">
                  <c:v>105000</c:v>
                </c:pt>
                <c:pt idx="22">
                  <c:v>90000</c:v>
                </c:pt>
                <c:pt idx="23">
                  <c:v>90000</c:v>
                </c:pt>
                <c:pt idx="24">
                  <c:v>90000</c:v>
                </c:pt>
                <c:pt idx="25">
                  <c:v>90000</c:v>
                </c:pt>
                <c:pt idx="26">
                  <c:v>45000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9B-1C44-935C-C4F7C26E41AF}"/>
            </c:ext>
          </c:extLst>
        </c:ser>
        <c:ser>
          <c:idx val="1"/>
          <c:order val="1"/>
          <c:tx>
            <c:strRef>
              <c:f>'All Payments'!$H$1</c:f>
              <c:strCache>
                <c:ptCount val="1"/>
                <c:pt idx="0">
                  <c:v>Plan #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'All Payments'!$F$2:$F$71</c:f>
              <c:strCache>
                <c:ptCount val="7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  <c:pt idx="20">
                  <c:v>Year 21</c:v>
                </c:pt>
                <c:pt idx="21">
                  <c:v>Year 22</c:v>
                </c:pt>
                <c:pt idx="22">
                  <c:v>Year 23</c:v>
                </c:pt>
                <c:pt idx="23">
                  <c:v>Year 24</c:v>
                </c:pt>
                <c:pt idx="24">
                  <c:v>Year 25</c:v>
                </c:pt>
                <c:pt idx="25">
                  <c:v>Year 26</c:v>
                </c:pt>
                <c:pt idx="26">
                  <c:v>Year 27</c:v>
                </c:pt>
                <c:pt idx="27">
                  <c:v>Year 28</c:v>
                </c:pt>
                <c:pt idx="28">
                  <c:v>Year 29</c:v>
                </c:pt>
                <c:pt idx="29">
                  <c:v>Year 30</c:v>
                </c:pt>
                <c:pt idx="30">
                  <c:v>Year 31</c:v>
                </c:pt>
                <c:pt idx="31">
                  <c:v>Year 32</c:v>
                </c:pt>
                <c:pt idx="32">
                  <c:v>Year 33</c:v>
                </c:pt>
                <c:pt idx="33">
                  <c:v>Year 34</c:v>
                </c:pt>
                <c:pt idx="34">
                  <c:v>Year 35</c:v>
                </c:pt>
                <c:pt idx="35">
                  <c:v>Year 36</c:v>
                </c:pt>
                <c:pt idx="36">
                  <c:v>Year 37</c:v>
                </c:pt>
                <c:pt idx="37">
                  <c:v>Year 38</c:v>
                </c:pt>
                <c:pt idx="38">
                  <c:v>Year 39</c:v>
                </c:pt>
                <c:pt idx="39">
                  <c:v>Year 40</c:v>
                </c:pt>
                <c:pt idx="40">
                  <c:v>Year 41</c:v>
                </c:pt>
                <c:pt idx="41">
                  <c:v>Year 42</c:v>
                </c:pt>
                <c:pt idx="42">
                  <c:v>Year 43</c:v>
                </c:pt>
                <c:pt idx="43">
                  <c:v>Year 44</c:v>
                </c:pt>
                <c:pt idx="44">
                  <c:v>Year 45</c:v>
                </c:pt>
                <c:pt idx="45">
                  <c:v>Year 46</c:v>
                </c:pt>
                <c:pt idx="46">
                  <c:v>Year 47</c:v>
                </c:pt>
                <c:pt idx="47">
                  <c:v>Year 48</c:v>
                </c:pt>
                <c:pt idx="48">
                  <c:v>Year 49</c:v>
                </c:pt>
                <c:pt idx="49">
                  <c:v>Year 50</c:v>
                </c:pt>
                <c:pt idx="50">
                  <c:v>Year 51</c:v>
                </c:pt>
                <c:pt idx="51">
                  <c:v>Year 52</c:v>
                </c:pt>
                <c:pt idx="52">
                  <c:v>Year 53</c:v>
                </c:pt>
                <c:pt idx="53">
                  <c:v>Year 54</c:v>
                </c:pt>
                <c:pt idx="54">
                  <c:v>Year 55</c:v>
                </c:pt>
                <c:pt idx="55">
                  <c:v>Year 56</c:v>
                </c:pt>
                <c:pt idx="56">
                  <c:v>Year 57</c:v>
                </c:pt>
                <c:pt idx="57">
                  <c:v>Year 58</c:v>
                </c:pt>
                <c:pt idx="58">
                  <c:v>Year 59</c:v>
                </c:pt>
                <c:pt idx="59">
                  <c:v>Year 60</c:v>
                </c:pt>
                <c:pt idx="60">
                  <c:v>Year 61</c:v>
                </c:pt>
                <c:pt idx="61">
                  <c:v>Year 62</c:v>
                </c:pt>
                <c:pt idx="62">
                  <c:v>Year 63</c:v>
                </c:pt>
                <c:pt idx="63">
                  <c:v>Year 64</c:v>
                </c:pt>
                <c:pt idx="64">
                  <c:v>Year 65</c:v>
                </c:pt>
                <c:pt idx="65">
                  <c:v>Year 66</c:v>
                </c:pt>
                <c:pt idx="66">
                  <c:v>Year 67</c:v>
                </c:pt>
                <c:pt idx="67">
                  <c:v>Year 68</c:v>
                </c:pt>
                <c:pt idx="68">
                  <c:v>Year 69</c:v>
                </c:pt>
                <c:pt idx="69">
                  <c:v>Year 70</c:v>
                </c:pt>
              </c:strCache>
            </c:strRef>
          </c:cat>
          <c:val>
            <c:numRef>
              <c:f>'All Payments'!$H$2:$H$71</c:f>
              <c:numCache>
                <c:formatCode>"$"#,##0.00_);\("$"#,##0.00\)</c:formatCode>
                <c:ptCount val="70"/>
                <c:pt idx="0">
                  <c:v>86000</c:v>
                </c:pt>
                <c:pt idx="1">
                  <c:v>89000</c:v>
                </c:pt>
                <c:pt idx="2">
                  <c:v>117000</c:v>
                </c:pt>
                <c:pt idx="3">
                  <c:v>121000</c:v>
                </c:pt>
                <c:pt idx="4">
                  <c:v>125000</c:v>
                </c:pt>
                <c:pt idx="5">
                  <c:v>154000</c:v>
                </c:pt>
                <c:pt idx="6">
                  <c:v>159000</c:v>
                </c:pt>
                <c:pt idx="7">
                  <c:v>239000</c:v>
                </c:pt>
                <c:pt idx="8">
                  <c:v>247000</c:v>
                </c:pt>
                <c:pt idx="9">
                  <c:v>280000</c:v>
                </c:pt>
                <c:pt idx="10">
                  <c:v>289000</c:v>
                </c:pt>
                <c:pt idx="11">
                  <c:v>323000</c:v>
                </c:pt>
                <c:pt idx="12">
                  <c:v>333000</c:v>
                </c:pt>
                <c:pt idx="13">
                  <c:v>368000</c:v>
                </c:pt>
                <c:pt idx="14">
                  <c:v>379000</c:v>
                </c:pt>
                <c:pt idx="15">
                  <c:v>390000</c:v>
                </c:pt>
                <c:pt idx="16">
                  <c:v>451000</c:v>
                </c:pt>
                <c:pt idx="17">
                  <c:v>464000</c:v>
                </c:pt>
                <c:pt idx="18">
                  <c:v>502000</c:v>
                </c:pt>
                <c:pt idx="19">
                  <c:v>541000</c:v>
                </c:pt>
                <c:pt idx="20">
                  <c:v>556000</c:v>
                </c:pt>
                <c:pt idx="21">
                  <c:v>571000</c:v>
                </c:pt>
                <c:pt idx="22">
                  <c:v>586000</c:v>
                </c:pt>
                <c:pt idx="23">
                  <c:v>626000</c:v>
                </c:pt>
                <c:pt idx="24">
                  <c:v>667000</c:v>
                </c:pt>
                <c:pt idx="25">
                  <c:v>629000</c:v>
                </c:pt>
                <c:pt idx="26">
                  <c:v>590000</c:v>
                </c:pt>
                <c:pt idx="27">
                  <c:v>605000</c:v>
                </c:pt>
                <c:pt idx="28">
                  <c:v>565000</c:v>
                </c:pt>
                <c:pt idx="29">
                  <c:v>579000</c:v>
                </c:pt>
                <c:pt idx="30">
                  <c:v>593000</c:v>
                </c:pt>
                <c:pt idx="31">
                  <c:v>607000</c:v>
                </c:pt>
                <c:pt idx="32">
                  <c:v>566000</c:v>
                </c:pt>
                <c:pt idx="33">
                  <c:v>579000</c:v>
                </c:pt>
                <c:pt idx="34">
                  <c:v>592000</c:v>
                </c:pt>
                <c:pt idx="35">
                  <c:v>550000</c:v>
                </c:pt>
                <c:pt idx="36">
                  <c:v>562000</c:v>
                </c:pt>
                <c:pt idx="37">
                  <c:v>409000</c:v>
                </c:pt>
                <c:pt idx="38">
                  <c:v>418000</c:v>
                </c:pt>
                <c:pt idx="39">
                  <c:v>372000</c:v>
                </c:pt>
                <c:pt idx="40">
                  <c:v>380000</c:v>
                </c:pt>
                <c:pt idx="41">
                  <c:v>333000</c:v>
                </c:pt>
                <c:pt idx="42">
                  <c:v>340000</c:v>
                </c:pt>
                <c:pt idx="43">
                  <c:v>292000</c:v>
                </c:pt>
                <c:pt idx="44">
                  <c:v>298000</c:v>
                </c:pt>
                <c:pt idx="45">
                  <c:v>304000</c:v>
                </c:pt>
                <c:pt idx="46">
                  <c:v>200000</c:v>
                </c:pt>
                <c:pt idx="47">
                  <c:v>204000</c:v>
                </c:pt>
                <c:pt idx="48">
                  <c:v>153000</c:v>
                </c:pt>
                <c:pt idx="49">
                  <c:v>101000</c:v>
                </c:pt>
                <c:pt idx="50">
                  <c:v>103000</c:v>
                </c:pt>
                <c:pt idx="51">
                  <c:v>105000</c:v>
                </c:pt>
                <c:pt idx="52">
                  <c:v>107000</c:v>
                </c:pt>
                <c:pt idx="53">
                  <c:v>54000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9B-1C44-935C-C4F7C26E41AF}"/>
            </c:ext>
          </c:extLst>
        </c:ser>
        <c:ser>
          <c:idx val="2"/>
          <c:order val="2"/>
          <c:tx>
            <c:strRef>
              <c:f>'All Payments'!$I$1</c:f>
              <c:strCache>
                <c:ptCount val="1"/>
                <c:pt idx="0">
                  <c:v>Plan # 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'All Payments'!$F$2:$F$71</c:f>
              <c:strCache>
                <c:ptCount val="7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  <c:pt idx="20">
                  <c:v>Year 21</c:v>
                </c:pt>
                <c:pt idx="21">
                  <c:v>Year 22</c:v>
                </c:pt>
                <c:pt idx="22">
                  <c:v>Year 23</c:v>
                </c:pt>
                <c:pt idx="23">
                  <c:v>Year 24</c:v>
                </c:pt>
                <c:pt idx="24">
                  <c:v>Year 25</c:v>
                </c:pt>
                <c:pt idx="25">
                  <c:v>Year 26</c:v>
                </c:pt>
                <c:pt idx="26">
                  <c:v>Year 27</c:v>
                </c:pt>
                <c:pt idx="27">
                  <c:v>Year 28</c:v>
                </c:pt>
                <c:pt idx="28">
                  <c:v>Year 29</c:v>
                </c:pt>
                <c:pt idx="29">
                  <c:v>Year 30</c:v>
                </c:pt>
                <c:pt idx="30">
                  <c:v>Year 31</c:v>
                </c:pt>
                <c:pt idx="31">
                  <c:v>Year 32</c:v>
                </c:pt>
                <c:pt idx="32">
                  <c:v>Year 33</c:v>
                </c:pt>
                <c:pt idx="33">
                  <c:v>Year 34</c:v>
                </c:pt>
                <c:pt idx="34">
                  <c:v>Year 35</c:v>
                </c:pt>
                <c:pt idx="35">
                  <c:v>Year 36</c:v>
                </c:pt>
                <c:pt idx="36">
                  <c:v>Year 37</c:v>
                </c:pt>
                <c:pt idx="37">
                  <c:v>Year 38</c:v>
                </c:pt>
                <c:pt idx="38">
                  <c:v>Year 39</c:v>
                </c:pt>
                <c:pt idx="39">
                  <c:v>Year 40</c:v>
                </c:pt>
                <c:pt idx="40">
                  <c:v>Year 41</c:v>
                </c:pt>
                <c:pt idx="41">
                  <c:v>Year 42</c:v>
                </c:pt>
                <c:pt idx="42">
                  <c:v>Year 43</c:v>
                </c:pt>
                <c:pt idx="43">
                  <c:v>Year 44</c:v>
                </c:pt>
                <c:pt idx="44">
                  <c:v>Year 45</c:v>
                </c:pt>
                <c:pt idx="45">
                  <c:v>Year 46</c:v>
                </c:pt>
                <c:pt idx="46">
                  <c:v>Year 47</c:v>
                </c:pt>
                <c:pt idx="47">
                  <c:v>Year 48</c:v>
                </c:pt>
                <c:pt idx="48">
                  <c:v>Year 49</c:v>
                </c:pt>
                <c:pt idx="49">
                  <c:v>Year 50</c:v>
                </c:pt>
                <c:pt idx="50">
                  <c:v>Year 51</c:v>
                </c:pt>
                <c:pt idx="51">
                  <c:v>Year 52</c:v>
                </c:pt>
                <c:pt idx="52">
                  <c:v>Year 53</c:v>
                </c:pt>
                <c:pt idx="53">
                  <c:v>Year 54</c:v>
                </c:pt>
                <c:pt idx="54">
                  <c:v>Year 55</c:v>
                </c:pt>
                <c:pt idx="55">
                  <c:v>Year 56</c:v>
                </c:pt>
                <c:pt idx="56">
                  <c:v>Year 57</c:v>
                </c:pt>
                <c:pt idx="57">
                  <c:v>Year 58</c:v>
                </c:pt>
                <c:pt idx="58">
                  <c:v>Year 59</c:v>
                </c:pt>
                <c:pt idx="59">
                  <c:v>Year 60</c:v>
                </c:pt>
                <c:pt idx="60">
                  <c:v>Year 61</c:v>
                </c:pt>
                <c:pt idx="61">
                  <c:v>Year 62</c:v>
                </c:pt>
                <c:pt idx="62">
                  <c:v>Year 63</c:v>
                </c:pt>
                <c:pt idx="63">
                  <c:v>Year 64</c:v>
                </c:pt>
                <c:pt idx="64">
                  <c:v>Year 65</c:v>
                </c:pt>
                <c:pt idx="65">
                  <c:v>Year 66</c:v>
                </c:pt>
                <c:pt idx="66">
                  <c:v>Year 67</c:v>
                </c:pt>
                <c:pt idx="67">
                  <c:v>Year 68</c:v>
                </c:pt>
                <c:pt idx="68">
                  <c:v>Year 69</c:v>
                </c:pt>
                <c:pt idx="69">
                  <c:v>Year 70</c:v>
                </c:pt>
              </c:strCache>
            </c:strRef>
          </c:cat>
          <c:val>
            <c:numRef>
              <c:f>'All Payments'!$I$2:$I$71</c:f>
              <c:numCache>
                <c:formatCode>"$"#,##0.00_);\("$"#,##0.00\)</c:formatCode>
                <c:ptCount val="70"/>
                <c:pt idx="0">
                  <c:v>14400</c:v>
                </c:pt>
                <c:pt idx="1">
                  <c:v>28800</c:v>
                </c:pt>
                <c:pt idx="2">
                  <c:v>43200</c:v>
                </c:pt>
                <c:pt idx="3">
                  <c:v>57600</c:v>
                </c:pt>
                <c:pt idx="4">
                  <c:v>64800</c:v>
                </c:pt>
                <c:pt idx="5">
                  <c:v>72000</c:v>
                </c:pt>
                <c:pt idx="6">
                  <c:v>72000</c:v>
                </c:pt>
                <c:pt idx="7">
                  <c:v>79200</c:v>
                </c:pt>
                <c:pt idx="8">
                  <c:v>79200</c:v>
                </c:pt>
                <c:pt idx="9">
                  <c:v>86400</c:v>
                </c:pt>
                <c:pt idx="10">
                  <c:v>108000</c:v>
                </c:pt>
                <c:pt idx="11">
                  <c:v>115200</c:v>
                </c:pt>
                <c:pt idx="12">
                  <c:v>136800</c:v>
                </c:pt>
                <c:pt idx="13">
                  <c:v>151200</c:v>
                </c:pt>
                <c:pt idx="14">
                  <c:v>158400</c:v>
                </c:pt>
                <c:pt idx="15">
                  <c:v>165600</c:v>
                </c:pt>
                <c:pt idx="16">
                  <c:v>165600</c:v>
                </c:pt>
                <c:pt idx="17">
                  <c:v>165600</c:v>
                </c:pt>
                <c:pt idx="18">
                  <c:v>165600</c:v>
                </c:pt>
                <c:pt idx="19">
                  <c:v>165600</c:v>
                </c:pt>
                <c:pt idx="20">
                  <c:v>165600</c:v>
                </c:pt>
                <c:pt idx="21">
                  <c:v>165600</c:v>
                </c:pt>
                <c:pt idx="22">
                  <c:v>165600</c:v>
                </c:pt>
                <c:pt idx="23">
                  <c:v>165600</c:v>
                </c:pt>
                <c:pt idx="24">
                  <c:v>165600</c:v>
                </c:pt>
                <c:pt idx="25">
                  <c:v>165600</c:v>
                </c:pt>
                <c:pt idx="26">
                  <c:v>165600</c:v>
                </c:pt>
                <c:pt idx="27">
                  <c:v>165600</c:v>
                </c:pt>
                <c:pt idx="28">
                  <c:v>165600</c:v>
                </c:pt>
                <c:pt idx="29">
                  <c:v>165600</c:v>
                </c:pt>
                <c:pt idx="30">
                  <c:v>165600</c:v>
                </c:pt>
                <c:pt idx="31">
                  <c:v>165600</c:v>
                </c:pt>
                <c:pt idx="32">
                  <c:v>165600</c:v>
                </c:pt>
                <c:pt idx="33">
                  <c:v>165600</c:v>
                </c:pt>
                <c:pt idx="34">
                  <c:v>165600</c:v>
                </c:pt>
                <c:pt idx="35">
                  <c:v>165600</c:v>
                </c:pt>
                <c:pt idx="36">
                  <c:v>165600</c:v>
                </c:pt>
                <c:pt idx="37">
                  <c:v>165600</c:v>
                </c:pt>
                <c:pt idx="38">
                  <c:v>165600</c:v>
                </c:pt>
                <c:pt idx="39">
                  <c:v>165600</c:v>
                </c:pt>
                <c:pt idx="40">
                  <c:v>165600</c:v>
                </c:pt>
                <c:pt idx="41">
                  <c:v>158400</c:v>
                </c:pt>
                <c:pt idx="42">
                  <c:v>158400</c:v>
                </c:pt>
                <c:pt idx="43">
                  <c:v>144000</c:v>
                </c:pt>
                <c:pt idx="44">
                  <c:v>136800</c:v>
                </c:pt>
                <c:pt idx="45">
                  <c:v>122400</c:v>
                </c:pt>
                <c:pt idx="46">
                  <c:v>122400</c:v>
                </c:pt>
                <c:pt idx="47">
                  <c:v>122400</c:v>
                </c:pt>
                <c:pt idx="48">
                  <c:v>108000</c:v>
                </c:pt>
                <c:pt idx="49">
                  <c:v>108000</c:v>
                </c:pt>
                <c:pt idx="50">
                  <c:v>100800</c:v>
                </c:pt>
                <c:pt idx="51">
                  <c:v>100800</c:v>
                </c:pt>
                <c:pt idx="52">
                  <c:v>100800</c:v>
                </c:pt>
                <c:pt idx="53">
                  <c:v>93600</c:v>
                </c:pt>
                <c:pt idx="54">
                  <c:v>79200</c:v>
                </c:pt>
                <c:pt idx="55">
                  <c:v>79200</c:v>
                </c:pt>
                <c:pt idx="56">
                  <c:v>72000</c:v>
                </c:pt>
                <c:pt idx="57">
                  <c:v>72000</c:v>
                </c:pt>
                <c:pt idx="58">
                  <c:v>64800</c:v>
                </c:pt>
                <c:pt idx="59">
                  <c:v>64800</c:v>
                </c:pt>
                <c:pt idx="60">
                  <c:v>50400</c:v>
                </c:pt>
                <c:pt idx="61">
                  <c:v>50400</c:v>
                </c:pt>
                <c:pt idx="62">
                  <c:v>43200</c:v>
                </c:pt>
                <c:pt idx="63">
                  <c:v>36000</c:v>
                </c:pt>
                <c:pt idx="64">
                  <c:v>36000</c:v>
                </c:pt>
                <c:pt idx="65">
                  <c:v>36000</c:v>
                </c:pt>
                <c:pt idx="66">
                  <c:v>21600</c:v>
                </c:pt>
                <c:pt idx="67">
                  <c:v>21600</c:v>
                </c:pt>
                <c:pt idx="68">
                  <c:v>21600</c:v>
                </c:pt>
                <c:pt idx="69">
                  <c:v>21600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9B-1C44-935C-C4F7C26E41AF}"/>
            </c:ext>
          </c:extLst>
        </c:ser>
        <c:ser>
          <c:idx val="3"/>
          <c:order val="3"/>
          <c:tx>
            <c:strRef>
              <c:f>'All Payments'!$J$1</c:f>
              <c:strCache>
                <c:ptCount val="1"/>
                <c:pt idx="0">
                  <c:v>Plan # 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'All Payments'!$F$2:$F$71</c:f>
              <c:strCache>
                <c:ptCount val="7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  <c:pt idx="20">
                  <c:v>Year 21</c:v>
                </c:pt>
                <c:pt idx="21">
                  <c:v>Year 22</c:v>
                </c:pt>
                <c:pt idx="22">
                  <c:v>Year 23</c:v>
                </c:pt>
                <c:pt idx="23">
                  <c:v>Year 24</c:v>
                </c:pt>
                <c:pt idx="24">
                  <c:v>Year 25</c:v>
                </c:pt>
                <c:pt idx="25">
                  <c:v>Year 26</c:v>
                </c:pt>
                <c:pt idx="26">
                  <c:v>Year 27</c:v>
                </c:pt>
                <c:pt idx="27">
                  <c:v>Year 28</c:v>
                </c:pt>
                <c:pt idx="28">
                  <c:v>Year 29</c:v>
                </c:pt>
                <c:pt idx="29">
                  <c:v>Year 30</c:v>
                </c:pt>
                <c:pt idx="30">
                  <c:v>Year 31</c:v>
                </c:pt>
                <c:pt idx="31">
                  <c:v>Year 32</c:v>
                </c:pt>
                <c:pt idx="32">
                  <c:v>Year 33</c:v>
                </c:pt>
                <c:pt idx="33">
                  <c:v>Year 34</c:v>
                </c:pt>
                <c:pt idx="34">
                  <c:v>Year 35</c:v>
                </c:pt>
                <c:pt idx="35">
                  <c:v>Year 36</c:v>
                </c:pt>
                <c:pt idx="36">
                  <c:v>Year 37</c:v>
                </c:pt>
                <c:pt idx="37">
                  <c:v>Year 38</c:v>
                </c:pt>
                <c:pt idx="38">
                  <c:v>Year 39</c:v>
                </c:pt>
                <c:pt idx="39">
                  <c:v>Year 40</c:v>
                </c:pt>
                <c:pt idx="40">
                  <c:v>Year 41</c:v>
                </c:pt>
                <c:pt idx="41">
                  <c:v>Year 42</c:v>
                </c:pt>
                <c:pt idx="42">
                  <c:v>Year 43</c:v>
                </c:pt>
                <c:pt idx="43">
                  <c:v>Year 44</c:v>
                </c:pt>
                <c:pt idx="44">
                  <c:v>Year 45</c:v>
                </c:pt>
                <c:pt idx="45">
                  <c:v>Year 46</c:v>
                </c:pt>
                <c:pt idx="46">
                  <c:v>Year 47</c:v>
                </c:pt>
                <c:pt idx="47">
                  <c:v>Year 48</c:v>
                </c:pt>
                <c:pt idx="48">
                  <c:v>Year 49</c:v>
                </c:pt>
                <c:pt idx="49">
                  <c:v>Year 50</c:v>
                </c:pt>
                <c:pt idx="50">
                  <c:v>Year 51</c:v>
                </c:pt>
                <c:pt idx="51">
                  <c:v>Year 52</c:v>
                </c:pt>
                <c:pt idx="52">
                  <c:v>Year 53</c:v>
                </c:pt>
                <c:pt idx="53">
                  <c:v>Year 54</c:v>
                </c:pt>
                <c:pt idx="54">
                  <c:v>Year 55</c:v>
                </c:pt>
                <c:pt idx="55">
                  <c:v>Year 56</c:v>
                </c:pt>
                <c:pt idx="56">
                  <c:v>Year 57</c:v>
                </c:pt>
                <c:pt idx="57">
                  <c:v>Year 58</c:v>
                </c:pt>
                <c:pt idx="58">
                  <c:v>Year 59</c:v>
                </c:pt>
                <c:pt idx="59">
                  <c:v>Year 60</c:v>
                </c:pt>
                <c:pt idx="60">
                  <c:v>Year 61</c:v>
                </c:pt>
                <c:pt idx="61">
                  <c:v>Year 62</c:v>
                </c:pt>
                <c:pt idx="62">
                  <c:v>Year 63</c:v>
                </c:pt>
                <c:pt idx="63">
                  <c:v>Year 64</c:v>
                </c:pt>
                <c:pt idx="64">
                  <c:v>Year 65</c:v>
                </c:pt>
                <c:pt idx="65">
                  <c:v>Year 66</c:v>
                </c:pt>
                <c:pt idx="66">
                  <c:v>Year 67</c:v>
                </c:pt>
                <c:pt idx="67">
                  <c:v>Year 68</c:v>
                </c:pt>
                <c:pt idx="68">
                  <c:v>Year 69</c:v>
                </c:pt>
                <c:pt idx="69">
                  <c:v>Year 70</c:v>
                </c:pt>
              </c:strCache>
            </c:strRef>
          </c:cat>
          <c:val>
            <c:numRef>
              <c:f>'All Payments'!$J$2:$J$71</c:f>
              <c:numCache>
                <c:formatCode>"$"#,##0.00_);\("$"#,##0.00\)</c:formatCode>
                <c:ptCount val="70"/>
                <c:pt idx="0">
                  <c:v>64000</c:v>
                </c:pt>
                <c:pt idx="1">
                  <c:v>65000</c:v>
                </c:pt>
                <c:pt idx="2">
                  <c:v>126000</c:v>
                </c:pt>
                <c:pt idx="3">
                  <c:v>128000</c:v>
                </c:pt>
                <c:pt idx="4">
                  <c:v>190000</c:v>
                </c:pt>
                <c:pt idx="5">
                  <c:v>253000</c:v>
                </c:pt>
                <c:pt idx="6">
                  <c:v>257000</c:v>
                </c:pt>
                <c:pt idx="7">
                  <c:v>321000</c:v>
                </c:pt>
                <c:pt idx="8">
                  <c:v>326000</c:v>
                </c:pt>
                <c:pt idx="9">
                  <c:v>391000</c:v>
                </c:pt>
                <c:pt idx="10">
                  <c:v>517000</c:v>
                </c:pt>
                <c:pt idx="11">
                  <c:v>525000</c:v>
                </c:pt>
                <c:pt idx="12">
                  <c:v>533000</c:v>
                </c:pt>
                <c:pt idx="13">
                  <c:v>541000</c:v>
                </c:pt>
                <c:pt idx="14">
                  <c:v>609000</c:v>
                </c:pt>
                <c:pt idx="15">
                  <c:v>618000</c:v>
                </c:pt>
                <c:pt idx="16">
                  <c:v>627000</c:v>
                </c:pt>
                <c:pt idx="17">
                  <c:v>636000</c:v>
                </c:pt>
                <c:pt idx="18">
                  <c:v>645000</c:v>
                </c:pt>
                <c:pt idx="19">
                  <c:v>654000</c:v>
                </c:pt>
                <c:pt idx="20">
                  <c:v>663000</c:v>
                </c:pt>
                <c:pt idx="21">
                  <c:v>672000</c:v>
                </c:pt>
                <c:pt idx="22">
                  <c:v>681000</c:v>
                </c:pt>
                <c:pt idx="23">
                  <c:v>690000</c:v>
                </c:pt>
                <c:pt idx="24">
                  <c:v>699000</c:v>
                </c:pt>
                <c:pt idx="25">
                  <c:v>708000</c:v>
                </c:pt>
                <c:pt idx="26">
                  <c:v>717000</c:v>
                </c:pt>
                <c:pt idx="27">
                  <c:v>726000</c:v>
                </c:pt>
                <c:pt idx="28">
                  <c:v>735000</c:v>
                </c:pt>
                <c:pt idx="29">
                  <c:v>744000</c:v>
                </c:pt>
                <c:pt idx="30">
                  <c:v>753000</c:v>
                </c:pt>
                <c:pt idx="31">
                  <c:v>762000</c:v>
                </c:pt>
                <c:pt idx="32">
                  <c:v>771000</c:v>
                </c:pt>
                <c:pt idx="33">
                  <c:v>780000</c:v>
                </c:pt>
                <c:pt idx="34">
                  <c:v>789000</c:v>
                </c:pt>
                <c:pt idx="35">
                  <c:v>798000</c:v>
                </c:pt>
                <c:pt idx="36">
                  <c:v>807000</c:v>
                </c:pt>
                <c:pt idx="37">
                  <c:v>715000</c:v>
                </c:pt>
                <c:pt idx="38">
                  <c:v>723000</c:v>
                </c:pt>
                <c:pt idx="39">
                  <c:v>731000</c:v>
                </c:pt>
                <c:pt idx="40">
                  <c:v>739000</c:v>
                </c:pt>
                <c:pt idx="41">
                  <c:v>747000</c:v>
                </c:pt>
                <c:pt idx="42">
                  <c:v>755000</c:v>
                </c:pt>
                <c:pt idx="43">
                  <c:v>662000</c:v>
                </c:pt>
                <c:pt idx="44">
                  <c:v>669000</c:v>
                </c:pt>
                <c:pt idx="45">
                  <c:v>575000</c:v>
                </c:pt>
                <c:pt idx="46">
                  <c:v>480000</c:v>
                </c:pt>
                <c:pt idx="47">
                  <c:v>485000</c:v>
                </c:pt>
                <c:pt idx="48">
                  <c:v>389000</c:v>
                </c:pt>
                <c:pt idx="49">
                  <c:v>393000</c:v>
                </c:pt>
                <c:pt idx="50">
                  <c:v>296000</c:v>
                </c:pt>
                <c:pt idx="51">
                  <c:v>97000</c:v>
                </c:pt>
                <c:pt idx="52">
                  <c:v>98000</c:v>
                </c:pt>
                <c:pt idx="53">
                  <c:v>99000</c:v>
                </c:pt>
                <c:pt idx="54">
                  <c:v>100000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9B-1C44-935C-C4F7C26E41AF}"/>
            </c:ext>
          </c:extLst>
        </c:ser>
        <c:ser>
          <c:idx val="4"/>
          <c:order val="4"/>
          <c:tx>
            <c:strRef>
              <c:f>'All Payments'!$K$1</c:f>
              <c:strCache>
                <c:ptCount val="1"/>
                <c:pt idx="0">
                  <c:v>Plan # 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'All Payments'!$F$2:$F$71</c:f>
              <c:strCache>
                <c:ptCount val="7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  <c:pt idx="20">
                  <c:v>Year 21</c:v>
                </c:pt>
                <c:pt idx="21">
                  <c:v>Year 22</c:v>
                </c:pt>
                <c:pt idx="22">
                  <c:v>Year 23</c:v>
                </c:pt>
                <c:pt idx="23">
                  <c:v>Year 24</c:v>
                </c:pt>
                <c:pt idx="24">
                  <c:v>Year 25</c:v>
                </c:pt>
                <c:pt idx="25">
                  <c:v>Year 26</c:v>
                </c:pt>
                <c:pt idx="26">
                  <c:v>Year 27</c:v>
                </c:pt>
                <c:pt idx="27">
                  <c:v>Year 28</c:v>
                </c:pt>
                <c:pt idx="28">
                  <c:v>Year 29</c:v>
                </c:pt>
                <c:pt idx="29">
                  <c:v>Year 30</c:v>
                </c:pt>
                <c:pt idx="30">
                  <c:v>Year 31</c:v>
                </c:pt>
                <c:pt idx="31">
                  <c:v>Year 32</c:v>
                </c:pt>
                <c:pt idx="32">
                  <c:v>Year 33</c:v>
                </c:pt>
                <c:pt idx="33">
                  <c:v>Year 34</c:v>
                </c:pt>
                <c:pt idx="34">
                  <c:v>Year 35</c:v>
                </c:pt>
                <c:pt idx="35">
                  <c:v>Year 36</c:v>
                </c:pt>
                <c:pt idx="36">
                  <c:v>Year 37</c:v>
                </c:pt>
                <c:pt idx="37">
                  <c:v>Year 38</c:v>
                </c:pt>
                <c:pt idx="38">
                  <c:v>Year 39</c:v>
                </c:pt>
                <c:pt idx="39">
                  <c:v>Year 40</c:v>
                </c:pt>
                <c:pt idx="40">
                  <c:v>Year 41</c:v>
                </c:pt>
                <c:pt idx="41">
                  <c:v>Year 42</c:v>
                </c:pt>
                <c:pt idx="42">
                  <c:v>Year 43</c:v>
                </c:pt>
                <c:pt idx="43">
                  <c:v>Year 44</c:v>
                </c:pt>
                <c:pt idx="44">
                  <c:v>Year 45</c:v>
                </c:pt>
                <c:pt idx="45">
                  <c:v>Year 46</c:v>
                </c:pt>
                <c:pt idx="46">
                  <c:v>Year 47</c:v>
                </c:pt>
                <c:pt idx="47">
                  <c:v>Year 48</c:v>
                </c:pt>
                <c:pt idx="48">
                  <c:v>Year 49</c:v>
                </c:pt>
                <c:pt idx="49">
                  <c:v>Year 50</c:v>
                </c:pt>
                <c:pt idx="50">
                  <c:v>Year 51</c:v>
                </c:pt>
                <c:pt idx="51">
                  <c:v>Year 52</c:v>
                </c:pt>
                <c:pt idx="52">
                  <c:v>Year 53</c:v>
                </c:pt>
                <c:pt idx="53">
                  <c:v>Year 54</c:v>
                </c:pt>
                <c:pt idx="54">
                  <c:v>Year 55</c:v>
                </c:pt>
                <c:pt idx="55">
                  <c:v>Year 56</c:v>
                </c:pt>
                <c:pt idx="56">
                  <c:v>Year 57</c:v>
                </c:pt>
                <c:pt idx="57">
                  <c:v>Year 58</c:v>
                </c:pt>
                <c:pt idx="58">
                  <c:v>Year 59</c:v>
                </c:pt>
                <c:pt idx="59">
                  <c:v>Year 60</c:v>
                </c:pt>
                <c:pt idx="60">
                  <c:v>Year 61</c:v>
                </c:pt>
                <c:pt idx="61">
                  <c:v>Year 62</c:v>
                </c:pt>
                <c:pt idx="62">
                  <c:v>Year 63</c:v>
                </c:pt>
                <c:pt idx="63">
                  <c:v>Year 64</c:v>
                </c:pt>
                <c:pt idx="64">
                  <c:v>Year 65</c:v>
                </c:pt>
                <c:pt idx="65">
                  <c:v>Year 66</c:v>
                </c:pt>
                <c:pt idx="66">
                  <c:v>Year 67</c:v>
                </c:pt>
                <c:pt idx="67">
                  <c:v>Year 68</c:v>
                </c:pt>
                <c:pt idx="68">
                  <c:v>Year 69</c:v>
                </c:pt>
                <c:pt idx="69">
                  <c:v>Year 70</c:v>
                </c:pt>
              </c:strCache>
            </c:strRef>
          </c:cat>
          <c:val>
            <c:numRef>
              <c:f>'All Payments'!$K$2:$K$71</c:f>
              <c:numCache>
                <c:formatCode>"$"#,##0.00_);\("$"#,##0.00\)</c:formatCode>
                <c:ptCount val="70"/>
                <c:pt idx="0">
                  <c:v>19000</c:v>
                </c:pt>
                <c:pt idx="1">
                  <c:v>19000</c:v>
                </c:pt>
                <c:pt idx="2">
                  <c:v>19000</c:v>
                </c:pt>
                <c:pt idx="3">
                  <c:v>63000</c:v>
                </c:pt>
                <c:pt idx="4">
                  <c:v>82000</c:v>
                </c:pt>
                <c:pt idx="5">
                  <c:v>101000</c:v>
                </c:pt>
                <c:pt idx="6">
                  <c:v>107000</c:v>
                </c:pt>
                <c:pt idx="7">
                  <c:v>101000</c:v>
                </c:pt>
                <c:pt idx="8">
                  <c:v>101000</c:v>
                </c:pt>
                <c:pt idx="9">
                  <c:v>95000</c:v>
                </c:pt>
                <c:pt idx="10">
                  <c:v>95000</c:v>
                </c:pt>
                <c:pt idx="11">
                  <c:v>101000</c:v>
                </c:pt>
                <c:pt idx="12">
                  <c:v>101000</c:v>
                </c:pt>
                <c:pt idx="13">
                  <c:v>145000</c:v>
                </c:pt>
                <c:pt idx="14">
                  <c:v>145000</c:v>
                </c:pt>
                <c:pt idx="15">
                  <c:v>157000</c:v>
                </c:pt>
                <c:pt idx="16">
                  <c:v>163000</c:v>
                </c:pt>
                <c:pt idx="17">
                  <c:v>163000</c:v>
                </c:pt>
                <c:pt idx="18">
                  <c:v>138000</c:v>
                </c:pt>
                <c:pt idx="19">
                  <c:v>144000</c:v>
                </c:pt>
                <c:pt idx="20">
                  <c:v>119000</c:v>
                </c:pt>
                <c:pt idx="21">
                  <c:v>119000</c:v>
                </c:pt>
                <c:pt idx="22">
                  <c:v>125000</c:v>
                </c:pt>
                <c:pt idx="23">
                  <c:v>100000</c:v>
                </c:pt>
                <c:pt idx="24">
                  <c:v>100000</c:v>
                </c:pt>
                <c:pt idx="25">
                  <c:v>75000</c:v>
                </c:pt>
                <c:pt idx="26">
                  <c:v>50000</c:v>
                </c:pt>
                <c:pt idx="27">
                  <c:v>50000</c:v>
                </c:pt>
                <c:pt idx="28">
                  <c:v>50000</c:v>
                </c:pt>
                <c:pt idx="29">
                  <c:v>25000</c:v>
                </c:pt>
                <c:pt idx="30">
                  <c:v>25000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D9B-1C44-935C-C4F7C26E41AF}"/>
            </c:ext>
          </c:extLst>
        </c:ser>
        <c:ser>
          <c:idx val="5"/>
          <c:order val="5"/>
          <c:tx>
            <c:strRef>
              <c:f>'All Payments'!$L$1</c:f>
              <c:strCache>
                <c:ptCount val="1"/>
                <c:pt idx="0">
                  <c:v>Plan # 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'All Payments'!$F$2:$F$71</c:f>
              <c:strCache>
                <c:ptCount val="7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  <c:pt idx="20">
                  <c:v>Year 21</c:v>
                </c:pt>
                <c:pt idx="21">
                  <c:v>Year 22</c:v>
                </c:pt>
                <c:pt idx="22">
                  <c:v>Year 23</c:v>
                </c:pt>
                <c:pt idx="23">
                  <c:v>Year 24</c:v>
                </c:pt>
                <c:pt idx="24">
                  <c:v>Year 25</c:v>
                </c:pt>
                <c:pt idx="25">
                  <c:v>Year 26</c:v>
                </c:pt>
                <c:pt idx="26">
                  <c:v>Year 27</c:v>
                </c:pt>
                <c:pt idx="27">
                  <c:v>Year 28</c:v>
                </c:pt>
                <c:pt idx="28">
                  <c:v>Year 29</c:v>
                </c:pt>
                <c:pt idx="29">
                  <c:v>Year 30</c:v>
                </c:pt>
                <c:pt idx="30">
                  <c:v>Year 31</c:v>
                </c:pt>
                <c:pt idx="31">
                  <c:v>Year 32</c:v>
                </c:pt>
                <c:pt idx="32">
                  <c:v>Year 33</c:v>
                </c:pt>
                <c:pt idx="33">
                  <c:v>Year 34</c:v>
                </c:pt>
                <c:pt idx="34">
                  <c:v>Year 35</c:v>
                </c:pt>
                <c:pt idx="35">
                  <c:v>Year 36</c:v>
                </c:pt>
                <c:pt idx="36">
                  <c:v>Year 37</c:v>
                </c:pt>
                <c:pt idx="37">
                  <c:v>Year 38</c:v>
                </c:pt>
                <c:pt idx="38">
                  <c:v>Year 39</c:v>
                </c:pt>
                <c:pt idx="39">
                  <c:v>Year 40</c:v>
                </c:pt>
                <c:pt idx="40">
                  <c:v>Year 41</c:v>
                </c:pt>
                <c:pt idx="41">
                  <c:v>Year 42</c:v>
                </c:pt>
                <c:pt idx="42">
                  <c:v>Year 43</c:v>
                </c:pt>
                <c:pt idx="43">
                  <c:v>Year 44</c:v>
                </c:pt>
                <c:pt idx="44">
                  <c:v>Year 45</c:v>
                </c:pt>
                <c:pt idx="45">
                  <c:v>Year 46</c:v>
                </c:pt>
                <c:pt idx="46">
                  <c:v>Year 47</c:v>
                </c:pt>
                <c:pt idx="47">
                  <c:v>Year 48</c:v>
                </c:pt>
                <c:pt idx="48">
                  <c:v>Year 49</c:v>
                </c:pt>
                <c:pt idx="49">
                  <c:v>Year 50</c:v>
                </c:pt>
                <c:pt idx="50">
                  <c:v>Year 51</c:v>
                </c:pt>
                <c:pt idx="51">
                  <c:v>Year 52</c:v>
                </c:pt>
                <c:pt idx="52">
                  <c:v>Year 53</c:v>
                </c:pt>
                <c:pt idx="53">
                  <c:v>Year 54</c:v>
                </c:pt>
                <c:pt idx="54">
                  <c:v>Year 55</c:v>
                </c:pt>
                <c:pt idx="55">
                  <c:v>Year 56</c:v>
                </c:pt>
                <c:pt idx="56">
                  <c:v>Year 57</c:v>
                </c:pt>
                <c:pt idx="57">
                  <c:v>Year 58</c:v>
                </c:pt>
                <c:pt idx="58">
                  <c:v>Year 59</c:v>
                </c:pt>
                <c:pt idx="59">
                  <c:v>Year 60</c:v>
                </c:pt>
                <c:pt idx="60">
                  <c:v>Year 61</c:v>
                </c:pt>
                <c:pt idx="61">
                  <c:v>Year 62</c:v>
                </c:pt>
                <c:pt idx="62">
                  <c:v>Year 63</c:v>
                </c:pt>
                <c:pt idx="63">
                  <c:v>Year 64</c:v>
                </c:pt>
                <c:pt idx="64">
                  <c:v>Year 65</c:v>
                </c:pt>
                <c:pt idx="65">
                  <c:v>Year 66</c:v>
                </c:pt>
                <c:pt idx="66">
                  <c:v>Year 67</c:v>
                </c:pt>
                <c:pt idx="67">
                  <c:v>Year 68</c:v>
                </c:pt>
                <c:pt idx="68">
                  <c:v>Year 69</c:v>
                </c:pt>
                <c:pt idx="69">
                  <c:v>Year 70</c:v>
                </c:pt>
              </c:strCache>
            </c:strRef>
          </c:cat>
          <c:val>
            <c:numRef>
              <c:f>'All Payments'!$L$2:$L$71</c:f>
              <c:numCache>
                <c:formatCode>"$"#,##0.00_);\("$"#,##0.00\)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5000</c:v>
                </c:pt>
                <c:pt idx="8">
                  <c:v>10000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  <c:pt idx="12">
                  <c:v>10000</c:v>
                </c:pt>
                <c:pt idx="13">
                  <c:v>15555.56</c:v>
                </c:pt>
                <c:pt idx="14">
                  <c:v>29841.279999999999</c:v>
                </c:pt>
                <c:pt idx="15">
                  <c:v>29841.279999999999</c:v>
                </c:pt>
                <c:pt idx="16">
                  <c:v>29841.279999999999</c:v>
                </c:pt>
                <c:pt idx="17">
                  <c:v>29841.279999999999</c:v>
                </c:pt>
                <c:pt idx="18">
                  <c:v>29841.279999999999</c:v>
                </c:pt>
                <c:pt idx="19">
                  <c:v>29841.279999999999</c:v>
                </c:pt>
                <c:pt idx="20">
                  <c:v>29841.24</c:v>
                </c:pt>
                <c:pt idx="21">
                  <c:v>15555.56</c:v>
                </c:pt>
                <c:pt idx="22">
                  <c:v>15555.56</c:v>
                </c:pt>
                <c:pt idx="23">
                  <c:v>15555.56</c:v>
                </c:pt>
                <c:pt idx="24">
                  <c:v>15555.56</c:v>
                </c:pt>
                <c:pt idx="25">
                  <c:v>15555.56</c:v>
                </c:pt>
                <c:pt idx="26">
                  <c:v>15555.56</c:v>
                </c:pt>
                <c:pt idx="27">
                  <c:v>10555.56</c:v>
                </c:pt>
                <c:pt idx="28">
                  <c:v>5555.56</c:v>
                </c:pt>
                <c:pt idx="29">
                  <c:v>5555.56</c:v>
                </c:pt>
                <c:pt idx="30">
                  <c:v>5555.48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D9B-1C44-935C-C4F7C26E41AF}"/>
            </c:ext>
          </c:extLst>
        </c:ser>
        <c:ser>
          <c:idx val="6"/>
          <c:order val="6"/>
          <c:tx>
            <c:strRef>
              <c:f>'All Payments'!$M$1</c:f>
              <c:strCache>
                <c:ptCount val="1"/>
                <c:pt idx="0">
                  <c:v>Plan # 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'All Payments'!$F$2:$F$71</c:f>
              <c:strCache>
                <c:ptCount val="7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  <c:pt idx="20">
                  <c:v>Year 21</c:v>
                </c:pt>
                <c:pt idx="21">
                  <c:v>Year 22</c:v>
                </c:pt>
                <c:pt idx="22">
                  <c:v>Year 23</c:v>
                </c:pt>
                <c:pt idx="23">
                  <c:v>Year 24</c:v>
                </c:pt>
                <c:pt idx="24">
                  <c:v>Year 25</c:v>
                </c:pt>
                <c:pt idx="25">
                  <c:v>Year 26</c:v>
                </c:pt>
                <c:pt idx="26">
                  <c:v>Year 27</c:v>
                </c:pt>
                <c:pt idx="27">
                  <c:v>Year 28</c:v>
                </c:pt>
                <c:pt idx="28">
                  <c:v>Year 29</c:v>
                </c:pt>
                <c:pt idx="29">
                  <c:v>Year 30</c:v>
                </c:pt>
                <c:pt idx="30">
                  <c:v>Year 31</c:v>
                </c:pt>
                <c:pt idx="31">
                  <c:v>Year 32</c:v>
                </c:pt>
                <c:pt idx="32">
                  <c:v>Year 33</c:v>
                </c:pt>
                <c:pt idx="33">
                  <c:v>Year 34</c:v>
                </c:pt>
                <c:pt idx="34">
                  <c:v>Year 35</c:v>
                </c:pt>
                <c:pt idx="35">
                  <c:v>Year 36</c:v>
                </c:pt>
                <c:pt idx="36">
                  <c:v>Year 37</c:v>
                </c:pt>
                <c:pt idx="37">
                  <c:v>Year 38</c:v>
                </c:pt>
                <c:pt idx="38">
                  <c:v>Year 39</c:v>
                </c:pt>
                <c:pt idx="39">
                  <c:v>Year 40</c:v>
                </c:pt>
                <c:pt idx="40">
                  <c:v>Year 41</c:v>
                </c:pt>
                <c:pt idx="41">
                  <c:v>Year 42</c:v>
                </c:pt>
                <c:pt idx="42">
                  <c:v>Year 43</c:v>
                </c:pt>
                <c:pt idx="43">
                  <c:v>Year 44</c:v>
                </c:pt>
                <c:pt idx="44">
                  <c:v>Year 45</c:v>
                </c:pt>
                <c:pt idx="45">
                  <c:v>Year 46</c:v>
                </c:pt>
                <c:pt idx="46">
                  <c:v>Year 47</c:v>
                </c:pt>
                <c:pt idx="47">
                  <c:v>Year 48</c:v>
                </c:pt>
                <c:pt idx="48">
                  <c:v>Year 49</c:v>
                </c:pt>
                <c:pt idx="49">
                  <c:v>Year 50</c:v>
                </c:pt>
                <c:pt idx="50">
                  <c:v>Year 51</c:v>
                </c:pt>
                <c:pt idx="51">
                  <c:v>Year 52</c:v>
                </c:pt>
                <c:pt idx="52">
                  <c:v>Year 53</c:v>
                </c:pt>
                <c:pt idx="53">
                  <c:v>Year 54</c:v>
                </c:pt>
                <c:pt idx="54">
                  <c:v>Year 55</c:v>
                </c:pt>
                <c:pt idx="55">
                  <c:v>Year 56</c:v>
                </c:pt>
                <c:pt idx="56">
                  <c:v>Year 57</c:v>
                </c:pt>
                <c:pt idx="57">
                  <c:v>Year 58</c:v>
                </c:pt>
                <c:pt idx="58">
                  <c:v>Year 59</c:v>
                </c:pt>
                <c:pt idx="59">
                  <c:v>Year 60</c:v>
                </c:pt>
                <c:pt idx="60">
                  <c:v>Year 61</c:v>
                </c:pt>
                <c:pt idx="61">
                  <c:v>Year 62</c:v>
                </c:pt>
                <c:pt idx="62">
                  <c:v>Year 63</c:v>
                </c:pt>
                <c:pt idx="63">
                  <c:v>Year 64</c:v>
                </c:pt>
                <c:pt idx="64">
                  <c:v>Year 65</c:v>
                </c:pt>
                <c:pt idx="65">
                  <c:v>Year 66</c:v>
                </c:pt>
                <c:pt idx="66">
                  <c:v>Year 67</c:v>
                </c:pt>
                <c:pt idx="67">
                  <c:v>Year 68</c:v>
                </c:pt>
                <c:pt idx="68">
                  <c:v>Year 69</c:v>
                </c:pt>
                <c:pt idx="69">
                  <c:v>Year 70</c:v>
                </c:pt>
              </c:strCache>
            </c:strRef>
          </c:cat>
          <c:val>
            <c:numRef>
              <c:f>'All Payments'!$M$2:$M$71</c:f>
              <c:numCache>
                <c:formatCode>"$"#,##0.00_);\("$"#,##0.00\)</c:formatCode>
                <c:ptCount val="70"/>
                <c:pt idx="0">
                  <c:v>30000</c:v>
                </c:pt>
                <c:pt idx="1">
                  <c:v>60000</c:v>
                </c:pt>
                <c:pt idx="2">
                  <c:v>90000</c:v>
                </c:pt>
                <c:pt idx="3">
                  <c:v>90000</c:v>
                </c:pt>
                <c:pt idx="4">
                  <c:v>120000</c:v>
                </c:pt>
                <c:pt idx="5">
                  <c:v>90000</c:v>
                </c:pt>
                <c:pt idx="6">
                  <c:v>180000</c:v>
                </c:pt>
                <c:pt idx="7">
                  <c:v>90000</c:v>
                </c:pt>
                <c:pt idx="8">
                  <c:v>180000</c:v>
                </c:pt>
                <c:pt idx="9">
                  <c:v>120000</c:v>
                </c:pt>
                <c:pt idx="10">
                  <c:v>210000</c:v>
                </c:pt>
                <c:pt idx="11">
                  <c:v>120000</c:v>
                </c:pt>
                <c:pt idx="12">
                  <c:v>150000</c:v>
                </c:pt>
                <c:pt idx="13">
                  <c:v>90000</c:v>
                </c:pt>
                <c:pt idx="14">
                  <c:v>210000</c:v>
                </c:pt>
                <c:pt idx="15">
                  <c:v>120000</c:v>
                </c:pt>
                <c:pt idx="16">
                  <c:v>180000</c:v>
                </c:pt>
                <c:pt idx="17">
                  <c:v>90000</c:v>
                </c:pt>
                <c:pt idx="18">
                  <c:v>150000</c:v>
                </c:pt>
                <c:pt idx="19">
                  <c:v>90000</c:v>
                </c:pt>
                <c:pt idx="20">
                  <c:v>90000</c:v>
                </c:pt>
                <c:pt idx="21">
                  <c:v>60000</c:v>
                </c:pt>
                <c:pt idx="22">
                  <c:v>90000</c:v>
                </c:pt>
                <c:pt idx="23">
                  <c:v>60000</c:v>
                </c:pt>
                <c:pt idx="24">
                  <c:v>30000</c:v>
                </c:pt>
                <c:pt idx="25">
                  <c:v>30000</c:v>
                </c:pt>
                <c:pt idx="26">
                  <c:v>0</c:v>
                </c:pt>
                <c:pt idx="27">
                  <c:v>30000</c:v>
                </c:pt>
                <c:pt idx="28">
                  <c:v>0</c:v>
                </c:pt>
                <c:pt idx="29">
                  <c:v>30000</c:v>
                </c:pt>
                <c:pt idx="30">
                  <c:v>0</c:v>
                </c:pt>
                <c:pt idx="31">
                  <c:v>30000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D9B-1C44-935C-C4F7C26E4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4587440"/>
        <c:axId val="1048059360"/>
      </c:lineChart>
      <c:catAx>
        <c:axId val="100458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059360"/>
        <c:crosses val="autoZero"/>
        <c:auto val="1"/>
        <c:lblAlgn val="ctr"/>
        <c:lblOffset val="100"/>
        <c:noMultiLvlLbl val="0"/>
      </c:catAx>
      <c:valAx>
        <c:axId val="104805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_);\(&quot;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587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Payments By Year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'All Payments'!$F$2:$F$71</c:f>
              <c:strCache>
                <c:ptCount val="7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  <c:pt idx="20">
                  <c:v>Year 21</c:v>
                </c:pt>
                <c:pt idx="21">
                  <c:v>Year 22</c:v>
                </c:pt>
                <c:pt idx="22">
                  <c:v>Year 23</c:v>
                </c:pt>
                <c:pt idx="23">
                  <c:v>Year 24</c:v>
                </c:pt>
                <c:pt idx="24">
                  <c:v>Year 25</c:v>
                </c:pt>
                <c:pt idx="25">
                  <c:v>Year 26</c:v>
                </c:pt>
                <c:pt idx="26">
                  <c:v>Year 27</c:v>
                </c:pt>
                <c:pt idx="27">
                  <c:v>Year 28</c:v>
                </c:pt>
                <c:pt idx="28">
                  <c:v>Year 29</c:v>
                </c:pt>
                <c:pt idx="29">
                  <c:v>Year 30</c:v>
                </c:pt>
                <c:pt idx="30">
                  <c:v>Year 31</c:v>
                </c:pt>
                <c:pt idx="31">
                  <c:v>Year 32</c:v>
                </c:pt>
                <c:pt idx="32">
                  <c:v>Year 33</c:v>
                </c:pt>
                <c:pt idx="33">
                  <c:v>Year 34</c:v>
                </c:pt>
                <c:pt idx="34">
                  <c:v>Year 35</c:v>
                </c:pt>
                <c:pt idx="35">
                  <c:v>Year 36</c:v>
                </c:pt>
                <c:pt idx="36">
                  <c:v>Year 37</c:v>
                </c:pt>
                <c:pt idx="37">
                  <c:v>Year 38</c:v>
                </c:pt>
                <c:pt idx="38">
                  <c:v>Year 39</c:v>
                </c:pt>
                <c:pt idx="39">
                  <c:v>Year 40</c:v>
                </c:pt>
                <c:pt idx="40">
                  <c:v>Year 41</c:v>
                </c:pt>
                <c:pt idx="41">
                  <c:v>Year 42</c:v>
                </c:pt>
                <c:pt idx="42">
                  <c:v>Year 43</c:v>
                </c:pt>
                <c:pt idx="43">
                  <c:v>Year 44</c:v>
                </c:pt>
                <c:pt idx="44">
                  <c:v>Year 45</c:v>
                </c:pt>
                <c:pt idx="45">
                  <c:v>Year 46</c:v>
                </c:pt>
                <c:pt idx="46">
                  <c:v>Year 47</c:v>
                </c:pt>
                <c:pt idx="47">
                  <c:v>Year 48</c:v>
                </c:pt>
                <c:pt idx="48">
                  <c:v>Year 49</c:v>
                </c:pt>
                <c:pt idx="49">
                  <c:v>Year 50</c:v>
                </c:pt>
                <c:pt idx="50">
                  <c:v>Year 51</c:v>
                </c:pt>
                <c:pt idx="51">
                  <c:v>Year 52</c:v>
                </c:pt>
                <c:pt idx="52">
                  <c:v>Year 53</c:v>
                </c:pt>
                <c:pt idx="53">
                  <c:v>Year 54</c:v>
                </c:pt>
                <c:pt idx="54">
                  <c:v>Year 55</c:v>
                </c:pt>
                <c:pt idx="55">
                  <c:v>Year 56</c:v>
                </c:pt>
                <c:pt idx="56">
                  <c:v>Year 57</c:v>
                </c:pt>
                <c:pt idx="57">
                  <c:v>Year 58</c:v>
                </c:pt>
                <c:pt idx="58">
                  <c:v>Year 59</c:v>
                </c:pt>
                <c:pt idx="59">
                  <c:v>Year 60</c:v>
                </c:pt>
                <c:pt idx="60">
                  <c:v>Year 61</c:v>
                </c:pt>
                <c:pt idx="61">
                  <c:v>Year 62</c:v>
                </c:pt>
                <c:pt idx="62">
                  <c:v>Year 63</c:v>
                </c:pt>
                <c:pt idx="63">
                  <c:v>Year 64</c:v>
                </c:pt>
                <c:pt idx="64">
                  <c:v>Year 65</c:v>
                </c:pt>
                <c:pt idx="65">
                  <c:v>Year 66</c:v>
                </c:pt>
                <c:pt idx="66">
                  <c:v>Year 67</c:v>
                </c:pt>
                <c:pt idx="67">
                  <c:v>Year 68</c:v>
                </c:pt>
                <c:pt idx="68">
                  <c:v>Year 69</c:v>
                </c:pt>
                <c:pt idx="69">
                  <c:v>Year 70</c:v>
                </c:pt>
              </c:strCache>
            </c:strRef>
          </c:cat>
          <c:val>
            <c:numRef>
              <c:f>Summaries!$A$16:$A$85</c:f>
              <c:numCache>
                <c:formatCode>"$"#,##0.00_);\("$"#,##0.00\)</c:formatCode>
                <c:ptCount val="70"/>
                <c:pt idx="0">
                  <c:v>228400</c:v>
                </c:pt>
                <c:pt idx="1">
                  <c:v>336800</c:v>
                </c:pt>
                <c:pt idx="2">
                  <c:v>490200</c:v>
                </c:pt>
                <c:pt idx="3">
                  <c:v>584600</c:v>
                </c:pt>
                <c:pt idx="4">
                  <c:v>706800</c:v>
                </c:pt>
                <c:pt idx="5">
                  <c:v>795000</c:v>
                </c:pt>
                <c:pt idx="6">
                  <c:v>945000</c:v>
                </c:pt>
                <c:pt idx="7">
                  <c:v>985200</c:v>
                </c:pt>
                <c:pt idx="8">
                  <c:v>1093200</c:v>
                </c:pt>
                <c:pt idx="9">
                  <c:v>1177400</c:v>
                </c:pt>
                <c:pt idx="10">
                  <c:v>1469000</c:v>
                </c:pt>
                <c:pt idx="11">
                  <c:v>1434200</c:v>
                </c:pt>
                <c:pt idx="12">
                  <c:v>1488800</c:v>
                </c:pt>
                <c:pt idx="13">
                  <c:v>1550755.56</c:v>
                </c:pt>
                <c:pt idx="14">
                  <c:v>1771241.28</c:v>
                </c:pt>
                <c:pt idx="15">
                  <c:v>1720441.28</c:v>
                </c:pt>
                <c:pt idx="16">
                  <c:v>1841441.28</c:v>
                </c:pt>
                <c:pt idx="17">
                  <c:v>1758441.28</c:v>
                </c:pt>
                <c:pt idx="18">
                  <c:v>1810441.28</c:v>
                </c:pt>
                <c:pt idx="19">
                  <c:v>1774441.28</c:v>
                </c:pt>
                <c:pt idx="20">
                  <c:v>1758441.24</c:v>
                </c:pt>
                <c:pt idx="21">
                  <c:v>1708155.56</c:v>
                </c:pt>
                <c:pt idx="22">
                  <c:v>1753155.56</c:v>
                </c:pt>
                <c:pt idx="23">
                  <c:v>1747155.56</c:v>
                </c:pt>
                <c:pt idx="24">
                  <c:v>1767155.56</c:v>
                </c:pt>
                <c:pt idx="25">
                  <c:v>1713155.56</c:v>
                </c:pt>
                <c:pt idx="26">
                  <c:v>1583155.56</c:v>
                </c:pt>
                <c:pt idx="27">
                  <c:v>1617155.56</c:v>
                </c:pt>
                <c:pt idx="28">
                  <c:v>1551155.56</c:v>
                </c:pt>
                <c:pt idx="29">
                  <c:v>1579155.56</c:v>
                </c:pt>
                <c:pt idx="30">
                  <c:v>1572155.48</c:v>
                </c:pt>
                <c:pt idx="31">
                  <c:v>1594600</c:v>
                </c:pt>
                <c:pt idx="32">
                  <c:v>1502600</c:v>
                </c:pt>
                <c:pt idx="33">
                  <c:v>1524600</c:v>
                </c:pt>
                <c:pt idx="34">
                  <c:v>1546600</c:v>
                </c:pt>
                <c:pt idx="35">
                  <c:v>1513600</c:v>
                </c:pt>
                <c:pt idx="36">
                  <c:v>1534600</c:v>
                </c:pt>
                <c:pt idx="37">
                  <c:v>1289600</c:v>
                </c:pt>
                <c:pt idx="38">
                  <c:v>1306600</c:v>
                </c:pt>
                <c:pt idx="39">
                  <c:v>1268600</c:v>
                </c:pt>
                <c:pt idx="40">
                  <c:v>1284600</c:v>
                </c:pt>
                <c:pt idx="41">
                  <c:v>1238400</c:v>
                </c:pt>
                <c:pt idx="42">
                  <c:v>1253400</c:v>
                </c:pt>
                <c:pt idx="43">
                  <c:v>1098000</c:v>
                </c:pt>
                <c:pt idx="44">
                  <c:v>1103800</c:v>
                </c:pt>
                <c:pt idx="45">
                  <c:v>1001400</c:v>
                </c:pt>
                <c:pt idx="46">
                  <c:v>802400</c:v>
                </c:pt>
                <c:pt idx="47">
                  <c:v>811400</c:v>
                </c:pt>
                <c:pt idx="48">
                  <c:v>650000</c:v>
                </c:pt>
                <c:pt idx="49">
                  <c:v>602000</c:v>
                </c:pt>
                <c:pt idx="50">
                  <c:v>499800</c:v>
                </c:pt>
                <c:pt idx="51">
                  <c:v>302800</c:v>
                </c:pt>
                <c:pt idx="52">
                  <c:v>305800</c:v>
                </c:pt>
                <c:pt idx="53">
                  <c:v>246600</c:v>
                </c:pt>
                <c:pt idx="54">
                  <c:v>179200</c:v>
                </c:pt>
                <c:pt idx="55">
                  <c:v>79200</c:v>
                </c:pt>
                <c:pt idx="56">
                  <c:v>72000</c:v>
                </c:pt>
                <c:pt idx="57">
                  <c:v>72000</c:v>
                </c:pt>
                <c:pt idx="58">
                  <c:v>64800</c:v>
                </c:pt>
                <c:pt idx="59">
                  <c:v>64800</c:v>
                </c:pt>
                <c:pt idx="60">
                  <c:v>50400</c:v>
                </c:pt>
                <c:pt idx="61">
                  <c:v>50400</c:v>
                </c:pt>
                <c:pt idx="62">
                  <c:v>43200</c:v>
                </c:pt>
                <c:pt idx="63">
                  <c:v>36000</c:v>
                </c:pt>
                <c:pt idx="64">
                  <c:v>36000</c:v>
                </c:pt>
                <c:pt idx="65">
                  <c:v>36000</c:v>
                </c:pt>
                <c:pt idx="66">
                  <c:v>21600</c:v>
                </c:pt>
                <c:pt idx="67">
                  <c:v>21600</c:v>
                </c:pt>
                <c:pt idx="68">
                  <c:v>21600</c:v>
                </c:pt>
                <c:pt idx="69">
                  <c:v>21600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85-0542-A850-E35A012A9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0221376"/>
        <c:axId val="1042081776"/>
      </c:lineChart>
      <c:catAx>
        <c:axId val="104022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081776"/>
        <c:crosses val="autoZero"/>
        <c:auto val="1"/>
        <c:lblAlgn val="ctr"/>
        <c:lblOffset val="100"/>
        <c:noMultiLvlLbl val="0"/>
      </c:catAx>
      <c:valAx>
        <c:axId val="104208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_);\(&quot;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02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596900</xdr:colOff>
      <xdr:row>3</xdr:row>
      <xdr:rowOff>114300</xdr:rowOff>
    </xdr:from>
    <xdr:to>
      <xdr:col>12</xdr:col>
      <xdr:colOff>88900</xdr:colOff>
      <xdr:row>8</xdr:row>
      <xdr:rowOff>0</xdr:rowOff>
    </xdr:to>
    <xdr:sp macro="[0]!premimum_calc" textlink="">
      <xdr:nvSpPr>
        <xdr:cNvPr id="2" name="Rounded Rectangle 1">
          <a:extLst>
            <a:ext uri="{FF2B5EF4-FFF2-40B4-BE49-F238E27FC236}">
              <a16:creationId xmlns:a16="http://schemas.microsoft.com/office/drawing/2014/main" id="{168F8726-A839-EE40-864F-29412E54CA17}"/>
            </a:ext>
          </a:extLst>
        </xdr:cNvPr>
        <xdr:cNvSpPr/>
      </xdr:nvSpPr>
      <xdr:spPr>
        <a:xfrm>
          <a:off x="8077200" y="685800"/>
          <a:ext cx="2857500" cy="838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7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Calculate Payments for block of business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317500</xdr:colOff>
      <xdr:row>3</xdr:row>
      <xdr:rowOff>63500</xdr:rowOff>
    </xdr:from>
    <xdr:to>
      <xdr:col>5</xdr:col>
      <xdr:colOff>762000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FD3F5EC-C3E4-1649-9C1A-116C001FB6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25400</xdr:colOff>
      <xdr:row>3</xdr:row>
      <xdr:rowOff>63500</xdr:rowOff>
    </xdr:from>
    <xdr:to>
      <xdr:col>11</xdr:col>
      <xdr:colOff>469900</xdr:colOff>
      <xdr:row>20</xdr:row>
      <xdr:rowOff>0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C9AB5B80-B59A-974B-A700-786CDD0547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101600</xdr:colOff>
      <xdr:row>5</xdr:row>
      <xdr:rowOff>114300</xdr:rowOff>
    </xdr:from>
    <xdr:to>
      <xdr:col>17</xdr:col>
      <xdr:colOff>546100</xdr:colOff>
      <xdr:row>22</xdr:row>
      <xdr:rowOff>50800</xdr:rowOff>
    </xdr:to>
    <xdr:graphicFrame macro="">
      <xdr:nvGraphicFramePr>
        <xdr:cNvPr id="5" name="Chart 7">
          <a:extLst>
            <a:ext uri="{FF2B5EF4-FFF2-40B4-BE49-F238E27FC236}">
              <a16:creationId xmlns:a16="http://schemas.microsoft.com/office/drawing/2014/main" id="{336F9C59-F8B3-2445-9CC2-873ACE9056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2:Q74"/>
  <sheetViews>
    <sheetView zoomScale="60" zoomScaleNormal="60" workbookViewId="0">
      <selection activeCell="Q3" sqref="Q3"/>
    </sheetView>
  </sheetViews>
  <sheetFormatPr baseColWidth="10" defaultColWidth="11.6640625" defaultRowHeight="13" x14ac:dyDescent="0.15"/>
  <sheetData>
    <row r="2" spans="1:17" x14ac:dyDescent="0.15">
      <c r="A2" t="s">
        <v>3</v>
      </c>
      <c r="B2" t="s">
        <v>7</v>
      </c>
      <c r="D2" t="s">
        <v>3</v>
      </c>
      <c r="E2" t="s">
        <v>13</v>
      </c>
      <c r="G2" t="s">
        <v>3</v>
      </c>
      <c r="H2" t="s">
        <v>14</v>
      </c>
      <c r="J2" t="s">
        <v>3</v>
      </c>
      <c r="K2" t="s">
        <v>15</v>
      </c>
      <c r="M2" t="s">
        <v>3</v>
      </c>
      <c r="N2" t="s">
        <v>16</v>
      </c>
      <c r="O2" t="s">
        <v>16</v>
      </c>
      <c r="Q2" t="s">
        <v>17</v>
      </c>
    </row>
    <row r="3" spans="1:17" x14ac:dyDescent="0.15">
      <c r="A3">
        <v>40</v>
      </c>
      <c r="B3">
        <v>15000</v>
      </c>
      <c r="D3">
        <v>40</v>
      </c>
      <c r="G3">
        <v>40</v>
      </c>
      <c r="H3">
        <v>7200</v>
      </c>
      <c r="J3">
        <v>40</v>
      </c>
      <c r="M3">
        <v>40</v>
      </c>
      <c r="N3">
        <v>19000</v>
      </c>
      <c r="O3">
        <v>25000</v>
      </c>
      <c r="Q3">
        <v>100000</v>
      </c>
    </row>
    <row r="4" spans="1:17" x14ac:dyDescent="0.15">
      <c r="A4">
        <v>41</v>
      </c>
      <c r="B4">
        <v>15000</v>
      </c>
      <c r="D4">
        <v>41</v>
      </c>
      <c r="G4">
        <v>41</v>
      </c>
      <c r="H4">
        <v>7200</v>
      </c>
      <c r="J4">
        <v>41</v>
      </c>
      <c r="M4">
        <v>41</v>
      </c>
      <c r="N4">
        <v>19000</v>
      </c>
      <c r="O4">
        <v>25000</v>
      </c>
    </row>
    <row r="5" spans="1:17" x14ac:dyDescent="0.15">
      <c r="A5">
        <v>42</v>
      </c>
      <c r="B5">
        <v>15000</v>
      </c>
      <c r="D5">
        <v>42</v>
      </c>
      <c r="G5">
        <v>42</v>
      </c>
      <c r="H5">
        <v>7200</v>
      </c>
      <c r="J5">
        <v>42</v>
      </c>
      <c r="M5">
        <v>42</v>
      </c>
      <c r="N5">
        <v>19000</v>
      </c>
      <c r="O5">
        <v>25000</v>
      </c>
    </row>
    <row r="6" spans="1:17" x14ac:dyDescent="0.15">
      <c r="A6">
        <v>43</v>
      </c>
      <c r="B6">
        <v>15000</v>
      </c>
      <c r="D6">
        <v>43</v>
      </c>
      <c r="G6">
        <v>43</v>
      </c>
      <c r="H6">
        <v>7200</v>
      </c>
      <c r="J6">
        <v>43</v>
      </c>
      <c r="M6">
        <v>43</v>
      </c>
      <c r="N6">
        <v>19000</v>
      </c>
      <c r="O6">
        <v>25000</v>
      </c>
    </row>
    <row r="7" spans="1:17" x14ac:dyDescent="0.15">
      <c r="A7">
        <v>44</v>
      </c>
      <c r="B7">
        <v>15000</v>
      </c>
      <c r="D7">
        <v>44</v>
      </c>
      <c r="G7">
        <v>44</v>
      </c>
      <c r="H7">
        <v>7200</v>
      </c>
      <c r="J7">
        <v>44</v>
      </c>
      <c r="M7">
        <v>44</v>
      </c>
      <c r="N7">
        <v>19000</v>
      </c>
      <c r="O7">
        <v>25000</v>
      </c>
    </row>
    <row r="8" spans="1:17" x14ac:dyDescent="0.15">
      <c r="A8">
        <v>45</v>
      </c>
      <c r="B8">
        <v>15000</v>
      </c>
      <c r="D8">
        <v>45</v>
      </c>
      <c r="G8">
        <v>45</v>
      </c>
      <c r="H8">
        <v>7200</v>
      </c>
      <c r="J8">
        <v>45</v>
      </c>
      <c r="M8">
        <v>45</v>
      </c>
      <c r="N8">
        <v>19000</v>
      </c>
      <c r="O8">
        <v>25000</v>
      </c>
    </row>
    <row r="9" spans="1:17" x14ac:dyDescent="0.15">
      <c r="A9">
        <v>46</v>
      </c>
      <c r="B9">
        <v>15000</v>
      </c>
      <c r="D9">
        <v>46</v>
      </c>
      <c r="G9">
        <v>46</v>
      </c>
      <c r="H9">
        <v>7200</v>
      </c>
      <c r="J9">
        <v>46</v>
      </c>
      <c r="M9">
        <v>46</v>
      </c>
      <c r="N9">
        <v>19000</v>
      </c>
      <c r="O9">
        <v>25000</v>
      </c>
    </row>
    <row r="10" spans="1:17" x14ac:dyDescent="0.15">
      <c r="A10">
        <v>47</v>
      </c>
      <c r="B10">
        <v>15000</v>
      </c>
      <c r="D10">
        <v>47</v>
      </c>
      <c r="G10">
        <v>47</v>
      </c>
      <c r="H10">
        <v>7200</v>
      </c>
      <c r="J10">
        <v>47</v>
      </c>
      <c r="M10">
        <v>47</v>
      </c>
      <c r="N10">
        <v>19000</v>
      </c>
      <c r="O10">
        <v>25000</v>
      </c>
    </row>
    <row r="11" spans="1:17" x14ac:dyDescent="0.15">
      <c r="A11">
        <v>48</v>
      </c>
      <c r="B11">
        <v>15000</v>
      </c>
      <c r="D11">
        <v>48</v>
      </c>
      <c r="G11">
        <v>48</v>
      </c>
      <c r="H11">
        <v>7200</v>
      </c>
      <c r="J11">
        <v>48</v>
      </c>
      <c r="M11">
        <v>48</v>
      </c>
      <c r="N11">
        <v>19000</v>
      </c>
      <c r="O11">
        <v>25000</v>
      </c>
    </row>
    <row r="12" spans="1:17" x14ac:dyDescent="0.15">
      <c r="A12">
        <v>49</v>
      </c>
      <c r="B12">
        <v>15000</v>
      </c>
      <c r="D12">
        <v>49</v>
      </c>
      <c r="G12">
        <v>49</v>
      </c>
      <c r="H12">
        <v>7200</v>
      </c>
      <c r="J12">
        <v>49</v>
      </c>
      <c r="M12">
        <v>49</v>
      </c>
      <c r="N12">
        <v>19000</v>
      </c>
      <c r="O12">
        <v>25000</v>
      </c>
    </row>
    <row r="13" spans="1:17" x14ac:dyDescent="0.15">
      <c r="A13">
        <v>50</v>
      </c>
      <c r="B13">
        <v>15000</v>
      </c>
      <c r="D13">
        <v>50</v>
      </c>
      <c r="G13">
        <v>50</v>
      </c>
      <c r="H13">
        <v>7200</v>
      </c>
      <c r="J13">
        <v>50</v>
      </c>
      <c r="M13">
        <v>50</v>
      </c>
      <c r="N13">
        <v>19000</v>
      </c>
      <c r="O13">
        <v>25000</v>
      </c>
    </row>
    <row r="14" spans="1:17" x14ac:dyDescent="0.15">
      <c r="A14">
        <v>51</v>
      </c>
      <c r="B14">
        <v>15000</v>
      </c>
      <c r="D14">
        <v>51</v>
      </c>
      <c r="G14">
        <v>51</v>
      </c>
      <c r="H14">
        <v>7200</v>
      </c>
      <c r="J14">
        <v>51</v>
      </c>
      <c r="M14">
        <v>51</v>
      </c>
      <c r="N14">
        <v>19000</v>
      </c>
      <c r="O14">
        <v>25000</v>
      </c>
    </row>
    <row r="15" spans="1:17" x14ac:dyDescent="0.15">
      <c r="A15">
        <v>52</v>
      </c>
      <c r="B15">
        <v>15000</v>
      </c>
      <c r="D15">
        <v>52</v>
      </c>
      <c r="G15">
        <v>52</v>
      </c>
      <c r="H15">
        <v>7200</v>
      </c>
      <c r="J15">
        <v>52</v>
      </c>
      <c r="M15">
        <v>52</v>
      </c>
      <c r="N15">
        <v>19000</v>
      </c>
      <c r="O15">
        <v>25000</v>
      </c>
    </row>
    <row r="16" spans="1:17" x14ac:dyDescent="0.15">
      <c r="A16">
        <v>53</v>
      </c>
      <c r="B16">
        <v>15000</v>
      </c>
      <c r="D16">
        <v>53</v>
      </c>
      <c r="G16">
        <v>53</v>
      </c>
      <c r="H16">
        <v>7200</v>
      </c>
      <c r="J16">
        <v>53</v>
      </c>
      <c r="M16">
        <v>53</v>
      </c>
      <c r="N16">
        <v>19000</v>
      </c>
      <c r="O16">
        <v>25000</v>
      </c>
    </row>
    <row r="17" spans="1:15" x14ac:dyDescent="0.15">
      <c r="A17">
        <v>54</v>
      </c>
      <c r="B17">
        <v>15000</v>
      </c>
      <c r="D17">
        <v>54</v>
      </c>
      <c r="G17">
        <v>54</v>
      </c>
      <c r="H17">
        <v>7200</v>
      </c>
      <c r="J17">
        <v>54</v>
      </c>
      <c r="M17">
        <v>54</v>
      </c>
      <c r="N17">
        <v>19000</v>
      </c>
      <c r="O17">
        <v>25000</v>
      </c>
    </row>
    <row r="18" spans="1:15" x14ac:dyDescent="0.15">
      <c r="A18">
        <v>55</v>
      </c>
      <c r="B18">
        <v>15000</v>
      </c>
      <c r="D18">
        <v>55</v>
      </c>
      <c r="G18">
        <v>55</v>
      </c>
      <c r="H18">
        <v>7200</v>
      </c>
      <c r="J18">
        <v>55</v>
      </c>
      <c r="M18">
        <v>55</v>
      </c>
      <c r="N18">
        <v>19000</v>
      </c>
      <c r="O18">
        <v>25000</v>
      </c>
    </row>
    <row r="19" spans="1:15" x14ac:dyDescent="0.15">
      <c r="A19">
        <v>56</v>
      </c>
      <c r="B19">
        <v>15000</v>
      </c>
      <c r="D19">
        <v>56</v>
      </c>
      <c r="G19">
        <v>56</v>
      </c>
      <c r="H19">
        <v>7200</v>
      </c>
      <c r="J19">
        <v>56</v>
      </c>
      <c r="M19">
        <v>56</v>
      </c>
      <c r="N19">
        <v>19000</v>
      </c>
      <c r="O19">
        <v>25000</v>
      </c>
    </row>
    <row r="20" spans="1:15" x14ac:dyDescent="0.15">
      <c r="A20">
        <v>57</v>
      </c>
      <c r="B20">
        <v>15000</v>
      </c>
      <c r="D20">
        <v>57</v>
      </c>
      <c r="G20">
        <v>57</v>
      </c>
      <c r="H20">
        <v>7200</v>
      </c>
      <c r="J20">
        <v>57</v>
      </c>
      <c r="M20">
        <v>57</v>
      </c>
      <c r="N20">
        <v>19000</v>
      </c>
      <c r="O20">
        <v>25000</v>
      </c>
    </row>
    <row r="21" spans="1:15" x14ac:dyDescent="0.15">
      <c r="A21">
        <v>58</v>
      </c>
      <c r="B21">
        <v>15000</v>
      </c>
      <c r="D21">
        <v>58</v>
      </c>
      <c r="G21">
        <v>58</v>
      </c>
      <c r="H21">
        <v>7200</v>
      </c>
      <c r="J21">
        <v>58</v>
      </c>
      <c r="M21">
        <v>58</v>
      </c>
      <c r="N21">
        <v>19000</v>
      </c>
      <c r="O21">
        <v>25000</v>
      </c>
    </row>
    <row r="22" spans="1:15" x14ac:dyDescent="0.15">
      <c r="A22">
        <v>59</v>
      </c>
      <c r="B22">
        <v>15000</v>
      </c>
      <c r="D22">
        <v>59</v>
      </c>
      <c r="G22">
        <v>59</v>
      </c>
      <c r="H22">
        <v>7200</v>
      </c>
      <c r="J22">
        <v>59</v>
      </c>
      <c r="M22">
        <v>59</v>
      </c>
      <c r="N22">
        <v>19000</v>
      </c>
      <c r="O22">
        <v>25000</v>
      </c>
    </row>
    <row r="23" spans="1:15" x14ac:dyDescent="0.15">
      <c r="A23">
        <v>60</v>
      </c>
      <c r="B23">
        <v>15000</v>
      </c>
      <c r="D23">
        <v>60</v>
      </c>
      <c r="G23">
        <v>60</v>
      </c>
      <c r="H23">
        <v>7200</v>
      </c>
      <c r="J23">
        <v>60</v>
      </c>
      <c r="K23">
        <v>60000</v>
      </c>
      <c r="M23">
        <v>60</v>
      </c>
      <c r="N23">
        <v>19000</v>
      </c>
      <c r="O23">
        <v>25000</v>
      </c>
    </row>
    <row r="24" spans="1:15" x14ac:dyDescent="0.15">
      <c r="A24">
        <v>61</v>
      </c>
      <c r="B24">
        <v>15000</v>
      </c>
      <c r="D24">
        <v>61</v>
      </c>
      <c r="G24">
        <v>61</v>
      </c>
      <c r="H24">
        <v>7200</v>
      </c>
      <c r="J24">
        <v>61</v>
      </c>
      <c r="K24">
        <f t="shared" ref="K24:K63" si="0">K23+1000</f>
        <v>61000</v>
      </c>
      <c r="M24">
        <v>61</v>
      </c>
      <c r="N24">
        <v>19000</v>
      </c>
      <c r="O24">
        <v>25000</v>
      </c>
    </row>
    <row r="25" spans="1:15" x14ac:dyDescent="0.15">
      <c r="A25">
        <v>62</v>
      </c>
      <c r="B25">
        <v>15000</v>
      </c>
      <c r="D25">
        <v>62</v>
      </c>
      <c r="G25">
        <v>62</v>
      </c>
      <c r="H25">
        <v>7200</v>
      </c>
      <c r="J25">
        <v>62</v>
      </c>
      <c r="K25">
        <f t="shared" si="0"/>
        <v>62000</v>
      </c>
      <c r="M25">
        <v>62</v>
      </c>
      <c r="N25">
        <v>19000</v>
      </c>
      <c r="O25">
        <v>25000</v>
      </c>
    </row>
    <row r="26" spans="1:15" x14ac:dyDescent="0.15">
      <c r="A26">
        <v>63</v>
      </c>
      <c r="B26">
        <v>15000</v>
      </c>
      <c r="D26">
        <v>63</v>
      </c>
      <c r="G26">
        <v>63</v>
      </c>
      <c r="H26">
        <v>7200</v>
      </c>
      <c r="J26">
        <v>63</v>
      </c>
      <c r="K26">
        <f t="shared" si="0"/>
        <v>63000</v>
      </c>
      <c r="M26">
        <v>63</v>
      </c>
      <c r="N26">
        <v>19000</v>
      </c>
      <c r="O26">
        <v>25000</v>
      </c>
    </row>
    <row r="27" spans="1:15" x14ac:dyDescent="0.15">
      <c r="A27">
        <v>64</v>
      </c>
      <c r="B27">
        <v>15000</v>
      </c>
      <c r="D27">
        <v>64</v>
      </c>
      <c r="G27">
        <v>64</v>
      </c>
      <c r="H27">
        <v>7200</v>
      </c>
      <c r="J27">
        <v>64</v>
      </c>
      <c r="K27">
        <f t="shared" si="0"/>
        <v>64000</v>
      </c>
      <c r="M27">
        <v>64</v>
      </c>
      <c r="N27">
        <v>19000</v>
      </c>
      <c r="O27">
        <v>25000</v>
      </c>
    </row>
    <row r="28" spans="1:15" x14ac:dyDescent="0.15">
      <c r="A28">
        <v>65</v>
      </c>
      <c r="B28">
        <v>15000</v>
      </c>
      <c r="D28">
        <v>65</v>
      </c>
      <c r="E28">
        <v>25000</v>
      </c>
      <c r="G28">
        <v>65</v>
      </c>
      <c r="H28">
        <v>7200</v>
      </c>
      <c r="J28">
        <v>65</v>
      </c>
      <c r="K28">
        <f t="shared" si="0"/>
        <v>65000</v>
      </c>
      <c r="M28">
        <v>65</v>
      </c>
      <c r="N28">
        <v>19000</v>
      </c>
      <c r="O28">
        <v>25000</v>
      </c>
    </row>
    <row r="29" spans="1:15" x14ac:dyDescent="0.15">
      <c r="A29">
        <v>66</v>
      </c>
      <c r="B29">
        <v>15000</v>
      </c>
      <c r="D29">
        <v>66</v>
      </c>
      <c r="E29">
        <f t="shared" ref="E29:E57" si="1">E28+1000</f>
        <v>26000</v>
      </c>
      <c r="G29">
        <v>66</v>
      </c>
      <c r="H29">
        <v>7200</v>
      </c>
      <c r="J29">
        <v>66</v>
      </c>
      <c r="K29">
        <f t="shared" si="0"/>
        <v>66000</v>
      </c>
      <c r="M29">
        <v>66</v>
      </c>
      <c r="N29">
        <v>19000</v>
      </c>
      <c r="O29">
        <v>25000</v>
      </c>
    </row>
    <row r="30" spans="1:15" x14ac:dyDescent="0.15">
      <c r="A30">
        <v>67</v>
      </c>
      <c r="B30">
        <v>15000</v>
      </c>
      <c r="D30">
        <v>67</v>
      </c>
      <c r="E30">
        <f t="shared" si="1"/>
        <v>27000</v>
      </c>
      <c r="G30">
        <v>67</v>
      </c>
      <c r="H30">
        <v>7200</v>
      </c>
      <c r="J30">
        <v>67</v>
      </c>
      <c r="K30">
        <f t="shared" si="0"/>
        <v>67000</v>
      </c>
      <c r="M30">
        <v>67</v>
      </c>
      <c r="N30">
        <v>19000</v>
      </c>
      <c r="O30">
        <v>25000</v>
      </c>
    </row>
    <row r="31" spans="1:15" x14ac:dyDescent="0.15">
      <c r="A31">
        <v>68</v>
      </c>
      <c r="B31">
        <v>15000</v>
      </c>
      <c r="D31">
        <v>68</v>
      </c>
      <c r="E31">
        <f t="shared" si="1"/>
        <v>28000</v>
      </c>
      <c r="G31">
        <v>68</v>
      </c>
      <c r="H31">
        <v>7200</v>
      </c>
      <c r="J31">
        <v>68</v>
      </c>
      <c r="K31">
        <f t="shared" si="0"/>
        <v>68000</v>
      </c>
      <c r="M31">
        <v>68</v>
      </c>
      <c r="N31">
        <v>19000</v>
      </c>
      <c r="O31">
        <v>25000</v>
      </c>
    </row>
    <row r="32" spans="1:15" x14ac:dyDescent="0.15">
      <c r="A32">
        <v>69</v>
      </c>
      <c r="B32">
        <v>15000</v>
      </c>
      <c r="D32">
        <v>69</v>
      </c>
      <c r="E32">
        <f t="shared" si="1"/>
        <v>29000</v>
      </c>
      <c r="G32">
        <v>69</v>
      </c>
      <c r="H32">
        <v>7200</v>
      </c>
      <c r="J32">
        <v>69</v>
      </c>
      <c r="K32">
        <f t="shared" si="0"/>
        <v>69000</v>
      </c>
      <c r="M32">
        <v>69</v>
      </c>
      <c r="N32">
        <v>19000</v>
      </c>
      <c r="O32">
        <v>25000</v>
      </c>
    </row>
    <row r="33" spans="1:15" x14ac:dyDescent="0.15">
      <c r="A33">
        <v>70</v>
      </c>
      <c r="B33">
        <v>15000</v>
      </c>
      <c r="D33">
        <v>70</v>
      </c>
      <c r="E33">
        <f t="shared" si="1"/>
        <v>30000</v>
      </c>
      <c r="G33">
        <v>70</v>
      </c>
      <c r="H33">
        <v>7200</v>
      </c>
      <c r="J33">
        <v>70</v>
      </c>
      <c r="K33">
        <f t="shared" si="0"/>
        <v>70000</v>
      </c>
      <c r="M33">
        <v>70</v>
      </c>
      <c r="N33">
        <v>19000</v>
      </c>
      <c r="O33">
        <v>25000</v>
      </c>
    </row>
    <row r="34" spans="1:15" x14ac:dyDescent="0.15">
      <c r="A34">
        <v>71</v>
      </c>
      <c r="B34">
        <v>15000</v>
      </c>
      <c r="D34">
        <v>71</v>
      </c>
      <c r="E34">
        <f t="shared" si="1"/>
        <v>31000</v>
      </c>
      <c r="G34">
        <v>71</v>
      </c>
      <c r="H34">
        <v>7200</v>
      </c>
      <c r="J34">
        <v>71</v>
      </c>
      <c r="K34">
        <f t="shared" si="0"/>
        <v>71000</v>
      </c>
      <c r="M34">
        <v>71</v>
      </c>
      <c r="N34">
        <v>19000</v>
      </c>
      <c r="O34">
        <v>25000</v>
      </c>
    </row>
    <row r="35" spans="1:15" x14ac:dyDescent="0.15">
      <c r="A35">
        <v>72</v>
      </c>
      <c r="B35">
        <v>15000</v>
      </c>
      <c r="D35">
        <v>72</v>
      </c>
      <c r="E35">
        <f t="shared" si="1"/>
        <v>32000</v>
      </c>
      <c r="G35">
        <v>72</v>
      </c>
      <c r="H35">
        <v>7200</v>
      </c>
      <c r="J35">
        <v>72</v>
      </c>
      <c r="K35">
        <f t="shared" si="0"/>
        <v>72000</v>
      </c>
      <c r="M35">
        <v>72</v>
      </c>
      <c r="N35">
        <v>19000</v>
      </c>
      <c r="O35">
        <v>25000</v>
      </c>
    </row>
    <row r="36" spans="1:15" x14ac:dyDescent="0.15">
      <c r="A36">
        <v>73</v>
      </c>
      <c r="B36">
        <v>15000</v>
      </c>
      <c r="D36">
        <v>73</v>
      </c>
      <c r="E36">
        <f t="shared" si="1"/>
        <v>33000</v>
      </c>
      <c r="G36">
        <v>73</v>
      </c>
      <c r="H36">
        <v>7200</v>
      </c>
      <c r="J36">
        <v>73</v>
      </c>
      <c r="K36">
        <f t="shared" si="0"/>
        <v>73000</v>
      </c>
      <c r="M36">
        <v>73</v>
      </c>
      <c r="N36">
        <v>19000</v>
      </c>
      <c r="O36">
        <v>25000</v>
      </c>
    </row>
    <row r="37" spans="1:15" x14ac:dyDescent="0.15">
      <c r="A37">
        <v>74</v>
      </c>
      <c r="B37">
        <v>15000</v>
      </c>
      <c r="D37">
        <v>74</v>
      </c>
      <c r="E37">
        <f t="shared" si="1"/>
        <v>34000</v>
      </c>
      <c r="G37">
        <v>74</v>
      </c>
      <c r="H37">
        <v>7200</v>
      </c>
      <c r="J37">
        <v>74</v>
      </c>
      <c r="K37">
        <f t="shared" si="0"/>
        <v>74000</v>
      </c>
      <c r="M37">
        <v>74</v>
      </c>
      <c r="N37">
        <v>19000</v>
      </c>
      <c r="O37">
        <v>25000</v>
      </c>
    </row>
    <row r="38" spans="1:15" x14ac:dyDescent="0.15">
      <c r="A38">
        <v>75</v>
      </c>
      <c r="B38">
        <v>15000</v>
      </c>
      <c r="D38">
        <v>75</v>
      </c>
      <c r="E38">
        <f t="shared" si="1"/>
        <v>35000</v>
      </c>
      <c r="G38">
        <v>75</v>
      </c>
      <c r="H38">
        <v>7200</v>
      </c>
      <c r="J38">
        <v>75</v>
      </c>
      <c r="K38">
        <f t="shared" si="0"/>
        <v>75000</v>
      </c>
      <c r="M38">
        <v>75</v>
      </c>
      <c r="N38">
        <v>19000</v>
      </c>
      <c r="O38">
        <v>25000</v>
      </c>
    </row>
    <row r="39" spans="1:15" x14ac:dyDescent="0.15">
      <c r="A39">
        <v>76</v>
      </c>
      <c r="B39">
        <v>15000</v>
      </c>
      <c r="D39">
        <v>76</v>
      </c>
      <c r="E39">
        <f t="shared" si="1"/>
        <v>36000</v>
      </c>
      <c r="G39">
        <v>76</v>
      </c>
      <c r="H39">
        <v>7200</v>
      </c>
      <c r="J39">
        <v>76</v>
      </c>
      <c r="K39">
        <f t="shared" si="0"/>
        <v>76000</v>
      </c>
      <c r="M39">
        <v>76</v>
      </c>
      <c r="N39">
        <v>19000</v>
      </c>
      <c r="O39">
        <v>25000</v>
      </c>
    </row>
    <row r="40" spans="1:15" x14ac:dyDescent="0.15">
      <c r="A40">
        <v>77</v>
      </c>
      <c r="B40">
        <v>15000</v>
      </c>
      <c r="D40">
        <v>77</v>
      </c>
      <c r="E40">
        <f t="shared" si="1"/>
        <v>37000</v>
      </c>
      <c r="G40">
        <v>77</v>
      </c>
      <c r="H40">
        <v>7200</v>
      </c>
      <c r="J40">
        <v>77</v>
      </c>
      <c r="K40">
        <f t="shared" si="0"/>
        <v>77000</v>
      </c>
      <c r="M40">
        <v>77</v>
      </c>
      <c r="N40">
        <v>19000</v>
      </c>
      <c r="O40">
        <v>25000</v>
      </c>
    </row>
    <row r="41" spans="1:15" x14ac:dyDescent="0.15">
      <c r="A41">
        <v>78</v>
      </c>
      <c r="B41">
        <v>15000</v>
      </c>
      <c r="D41">
        <v>78</v>
      </c>
      <c r="E41">
        <f t="shared" si="1"/>
        <v>38000</v>
      </c>
      <c r="G41">
        <v>78</v>
      </c>
      <c r="H41">
        <v>7200</v>
      </c>
      <c r="J41">
        <v>78</v>
      </c>
      <c r="K41">
        <f t="shared" si="0"/>
        <v>78000</v>
      </c>
      <c r="M41">
        <v>78</v>
      </c>
      <c r="N41">
        <v>19000</v>
      </c>
      <c r="O41">
        <v>25000</v>
      </c>
    </row>
    <row r="42" spans="1:15" x14ac:dyDescent="0.15">
      <c r="A42">
        <v>79</v>
      </c>
      <c r="B42">
        <v>15000</v>
      </c>
      <c r="D42">
        <v>79</v>
      </c>
      <c r="E42">
        <f t="shared" si="1"/>
        <v>39000</v>
      </c>
      <c r="G42">
        <v>79</v>
      </c>
      <c r="H42">
        <v>7200</v>
      </c>
      <c r="J42">
        <v>79</v>
      </c>
      <c r="K42">
        <f t="shared" si="0"/>
        <v>79000</v>
      </c>
      <c r="M42">
        <v>79</v>
      </c>
      <c r="N42">
        <v>19000</v>
      </c>
      <c r="O42">
        <v>25000</v>
      </c>
    </row>
    <row r="43" spans="1:15" x14ac:dyDescent="0.15">
      <c r="A43">
        <v>80</v>
      </c>
      <c r="B43">
        <v>15000</v>
      </c>
      <c r="D43">
        <v>80</v>
      </c>
      <c r="E43">
        <f t="shared" si="1"/>
        <v>40000</v>
      </c>
      <c r="G43">
        <v>80</v>
      </c>
      <c r="H43">
        <v>7200</v>
      </c>
      <c r="J43">
        <v>80</v>
      </c>
      <c r="K43">
        <f t="shared" si="0"/>
        <v>80000</v>
      </c>
      <c r="M43">
        <v>80</v>
      </c>
      <c r="N43">
        <v>19000</v>
      </c>
      <c r="O43">
        <v>25000</v>
      </c>
    </row>
    <row r="44" spans="1:15" x14ac:dyDescent="0.15">
      <c r="A44">
        <v>81</v>
      </c>
      <c r="B44">
        <v>15000</v>
      </c>
      <c r="D44">
        <v>81</v>
      </c>
      <c r="E44">
        <f t="shared" si="1"/>
        <v>41000</v>
      </c>
      <c r="G44">
        <v>81</v>
      </c>
      <c r="H44">
        <v>7200</v>
      </c>
      <c r="J44">
        <v>81</v>
      </c>
      <c r="K44">
        <f t="shared" si="0"/>
        <v>81000</v>
      </c>
      <c r="M44">
        <v>81</v>
      </c>
      <c r="N44">
        <v>19000</v>
      </c>
      <c r="O44">
        <v>25000</v>
      </c>
    </row>
    <row r="45" spans="1:15" x14ac:dyDescent="0.15">
      <c r="A45">
        <v>82</v>
      </c>
      <c r="B45">
        <v>15000</v>
      </c>
      <c r="D45">
        <v>82</v>
      </c>
      <c r="E45">
        <f t="shared" si="1"/>
        <v>42000</v>
      </c>
      <c r="G45">
        <v>82</v>
      </c>
      <c r="H45">
        <v>7200</v>
      </c>
      <c r="J45">
        <v>82</v>
      </c>
      <c r="K45">
        <f t="shared" si="0"/>
        <v>82000</v>
      </c>
      <c r="M45">
        <v>82</v>
      </c>
      <c r="N45">
        <v>19000</v>
      </c>
      <c r="O45">
        <v>25000</v>
      </c>
    </row>
    <row r="46" spans="1:15" x14ac:dyDescent="0.15">
      <c r="A46">
        <v>83</v>
      </c>
      <c r="B46">
        <v>15000</v>
      </c>
      <c r="D46">
        <v>83</v>
      </c>
      <c r="E46">
        <f t="shared" si="1"/>
        <v>43000</v>
      </c>
      <c r="G46">
        <v>83</v>
      </c>
      <c r="H46">
        <v>7200</v>
      </c>
      <c r="J46">
        <v>83</v>
      </c>
      <c r="K46">
        <f t="shared" si="0"/>
        <v>83000</v>
      </c>
      <c r="M46">
        <v>83</v>
      </c>
      <c r="N46">
        <v>19000</v>
      </c>
      <c r="O46">
        <v>25000</v>
      </c>
    </row>
    <row r="47" spans="1:15" x14ac:dyDescent="0.15">
      <c r="A47">
        <v>84</v>
      </c>
      <c r="B47">
        <v>15000</v>
      </c>
      <c r="D47">
        <v>84</v>
      </c>
      <c r="E47">
        <f t="shared" si="1"/>
        <v>44000</v>
      </c>
      <c r="G47">
        <v>84</v>
      </c>
      <c r="H47">
        <v>7200</v>
      </c>
      <c r="J47">
        <v>84</v>
      </c>
      <c r="K47">
        <f t="shared" si="0"/>
        <v>84000</v>
      </c>
      <c r="M47">
        <v>84</v>
      </c>
      <c r="N47">
        <v>19000</v>
      </c>
      <c r="O47">
        <v>25000</v>
      </c>
    </row>
    <row r="48" spans="1:15" x14ac:dyDescent="0.15">
      <c r="A48">
        <v>85</v>
      </c>
      <c r="B48">
        <v>15000</v>
      </c>
      <c r="D48">
        <v>85</v>
      </c>
      <c r="E48">
        <f t="shared" si="1"/>
        <v>45000</v>
      </c>
      <c r="G48">
        <v>85</v>
      </c>
      <c r="H48">
        <v>7200</v>
      </c>
      <c r="J48">
        <v>85</v>
      </c>
      <c r="K48">
        <f t="shared" si="0"/>
        <v>85000</v>
      </c>
      <c r="M48">
        <v>85</v>
      </c>
      <c r="N48">
        <v>19000</v>
      </c>
      <c r="O48">
        <v>25000</v>
      </c>
    </row>
    <row r="49" spans="1:15" x14ac:dyDescent="0.15">
      <c r="A49">
        <v>86</v>
      </c>
      <c r="B49">
        <v>15000</v>
      </c>
      <c r="D49">
        <v>86</v>
      </c>
      <c r="E49">
        <f t="shared" si="1"/>
        <v>46000</v>
      </c>
      <c r="G49">
        <v>86</v>
      </c>
      <c r="H49">
        <v>7200</v>
      </c>
      <c r="J49">
        <v>86</v>
      </c>
      <c r="K49">
        <f t="shared" si="0"/>
        <v>86000</v>
      </c>
      <c r="M49">
        <v>86</v>
      </c>
      <c r="N49">
        <v>19000</v>
      </c>
      <c r="O49">
        <v>25000</v>
      </c>
    </row>
    <row r="50" spans="1:15" x14ac:dyDescent="0.15">
      <c r="A50">
        <v>87</v>
      </c>
      <c r="B50">
        <v>15000</v>
      </c>
      <c r="D50">
        <v>87</v>
      </c>
      <c r="E50">
        <f t="shared" si="1"/>
        <v>47000</v>
      </c>
      <c r="G50">
        <v>87</v>
      </c>
      <c r="H50">
        <v>7200</v>
      </c>
      <c r="J50">
        <v>87</v>
      </c>
      <c r="K50">
        <f t="shared" si="0"/>
        <v>87000</v>
      </c>
      <c r="M50">
        <v>87</v>
      </c>
      <c r="N50">
        <v>19000</v>
      </c>
      <c r="O50">
        <v>25000</v>
      </c>
    </row>
    <row r="51" spans="1:15" x14ac:dyDescent="0.15">
      <c r="A51">
        <v>88</v>
      </c>
      <c r="B51">
        <v>15000</v>
      </c>
      <c r="D51">
        <v>88</v>
      </c>
      <c r="E51">
        <f t="shared" si="1"/>
        <v>48000</v>
      </c>
      <c r="G51">
        <v>88</v>
      </c>
      <c r="H51">
        <v>7200</v>
      </c>
      <c r="J51">
        <v>88</v>
      </c>
      <c r="K51">
        <f t="shared" si="0"/>
        <v>88000</v>
      </c>
      <c r="M51">
        <v>88</v>
      </c>
      <c r="N51">
        <v>19000</v>
      </c>
      <c r="O51">
        <v>25000</v>
      </c>
    </row>
    <row r="52" spans="1:15" x14ac:dyDescent="0.15">
      <c r="A52">
        <v>89</v>
      </c>
      <c r="B52">
        <v>15000</v>
      </c>
      <c r="D52">
        <v>89</v>
      </c>
      <c r="E52">
        <f t="shared" si="1"/>
        <v>49000</v>
      </c>
      <c r="G52">
        <v>89</v>
      </c>
      <c r="H52">
        <v>7200</v>
      </c>
      <c r="J52">
        <v>89</v>
      </c>
      <c r="K52">
        <f t="shared" si="0"/>
        <v>89000</v>
      </c>
      <c r="M52">
        <v>89</v>
      </c>
      <c r="N52">
        <v>19000</v>
      </c>
      <c r="O52">
        <v>25000</v>
      </c>
    </row>
    <row r="53" spans="1:15" x14ac:dyDescent="0.15">
      <c r="A53">
        <v>90</v>
      </c>
      <c r="B53">
        <v>15000</v>
      </c>
      <c r="D53">
        <v>90</v>
      </c>
      <c r="E53">
        <f t="shared" si="1"/>
        <v>50000</v>
      </c>
      <c r="G53">
        <v>90</v>
      </c>
      <c r="H53">
        <v>7200</v>
      </c>
      <c r="J53">
        <v>90</v>
      </c>
      <c r="K53">
        <f t="shared" si="0"/>
        <v>90000</v>
      </c>
      <c r="M53">
        <v>90</v>
      </c>
      <c r="N53">
        <v>19000</v>
      </c>
      <c r="O53">
        <v>25000</v>
      </c>
    </row>
    <row r="54" spans="1:15" x14ac:dyDescent="0.15">
      <c r="A54">
        <v>91</v>
      </c>
      <c r="B54">
        <v>15000</v>
      </c>
      <c r="D54">
        <v>91</v>
      </c>
      <c r="E54">
        <f t="shared" si="1"/>
        <v>51000</v>
      </c>
      <c r="G54">
        <v>91</v>
      </c>
      <c r="H54">
        <v>7200</v>
      </c>
      <c r="J54">
        <v>91</v>
      </c>
      <c r="K54">
        <f t="shared" si="0"/>
        <v>91000</v>
      </c>
      <c r="M54">
        <v>91</v>
      </c>
      <c r="N54">
        <v>19000</v>
      </c>
      <c r="O54">
        <v>25000</v>
      </c>
    </row>
    <row r="55" spans="1:15" x14ac:dyDescent="0.15">
      <c r="A55">
        <v>92</v>
      </c>
      <c r="B55">
        <v>15000</v>
      </c>
      <c r="D55">
        <v>92</v>
      </c>
      <c r="E55">
        <f t="shared" si="1"/>
        <v>52000</v>
      </c>
      <c r="G55">
        <v>92</v>
      </c>
      <c r="H55">
        <v>7200</v>
      </c>
      <c r="J55">
        <v>92</v>
      </c>
      <c r="K55">
        <f t="shared" si="0"/>
        <v>92000</v>
      </c>
      <c r="M55">
        <v>92</v>
      </c>
      <c r="N55">
        <v>19000</v>
      </c>
      <c r="O55">
        <v>25000</v>
      </c>
    </row>
    <row r="56" spans="1:15" x14ac:dyDescent="0.15">
      <c r="A56">
        <v>93</v>
      </c>
      <c r="B56">
        <v>15000</v>
      </c>
      <c r="D56">
        <v>93</v>
      </c>
      <c r="E56">
        <f t="shared" si="1"/>
        <v>53000</v>
      </c>
      <c r="G56">
        <v>93</v>
      </c>
      <c r="H56">
        <v>7200</v>
      </c>
      <c r="J56">
        <v>93</v>
      </c>
      <c r="K56">
        <f t="shared" si="0"/>
        <v>93000</v>
      </c>
      <c r="M56">
        <v>93</v>
      </c>
      <c r="N56">
        <v>19000</v>
      </c>
      <c r="O56">
        <v>25000</v>
      </c>
    </row>
    <row r="57" spans="1:15" x14ac:dyDescent="0.15">
      <c r="A57">
        <v>94</v>
      </c>
      <c r="B57">
        <v>15000</v>
      </c>
      <c r="D57">
        <v>94</v>
      </c>
      <c r="E57">
        <f t="shared" si="1"/>
        <v>54000</v>
      </c>
      <c r="G57">
        <v>94</v>
      </c>
      <c r="H57">
        <v>7200</v>
      </c>
      <c r="J57">
        <v>94</v>
      </c>
      <c r="K57">
        <f t="shared" si="0"/>
        <v>94000</v>
      </c>
      <c r="M57">
        <v>94</v>
      </c>
      <c r="N57">
        <v>19000</v>
      </c>
      <c r="O57">
        <v>25000</v>
      </c>
    </row>
    <row r="58" spans="1:15" x14ac:dyDescent="0.15">
      <c r="A58">
        <v>95</v>
      </c>
      <c r="B58">
        <v>15000</v>
      </c>
      <c r="D58">
        <v>95</v>
      </c>
      <c r="G58">
        <v>95</v>
      </c>
      <c r="H58">
        <v>7200</v>
      </c>
      <c r="J58">
        <v>95</v>
      </c>
      <c r="K58">
        <f t="shared" si="0"/>
        <v>95000</v>
      </c>
      <c r="M58">
        <v>95</v>
      </c>
      <c r="N58">
        <v>19000</v>
      </c>
      <c r="O58">
        <v>25000</v>
      </c>
    </row>
    <row r="59" spans="1:15" x14ac:dyDescent="0.15">
      <c r="A59">
        <v>96</v>
      </c>
      <c r="B59">
        <v>15000</v>
      </c>
      <c r="D59">
        <v>96</v>
      </c>
      <c r="G59">
        <v>96</v>
      </c>
      <c r="H59">
        <v>7200</v>
      </c>
      <c r="J59">
        <v>96</v>
      </c>
      <c r="K59">
        <f t="shared" si="0"/>
        <v>96000</v>
      </c>
      <c r="M59">
        <v>96</v>
      </c>
      <c r="N59">
        <v>19000</v>
      </c>
      <c r="O59">
        <v>25000</v>
      </c>
    </row>
    <row r="60" spans="1:15" x14ac:dyDescent="0.15">
      <c r="A60">
        <v>97</v>
      </c>
      <c r="B60">
        <v>15000</v>
      </c>
      <c r="D60">
        <v>97</v>
      </c>
      <c r="G60">
        <v>97</v>
      </c>
      <c r="H60">
        <v>7200</v>
      </c>
      <c r="J60">
        <v>97</v>
      </c>
      <c r="K60">
        <f t="shared" si="0"/>
        <v>97000</v>
      </c>
      <c r="M60">
        <v>97</v>
      </c>
      <c r="N60">
        <v>19000</v>
      </c>
      <c r="O60">
        <v>25000</v>
      </c>
    </row>
    <row r="61" spans="1:15" x14ac:dyDescent="0.15">
      <c r="A61">
        <v>98</v>
      </c>
      <c r="B61">
        <v>15000</v>
      </c>
      <c r="D61">
        <v>98</v>
      </c>
      <c r="G61">
        <v>98</v>
      </c>
      <c r="H61">
        <v>7200</v>
      </c>
      <c r="J61">
        <v>98</v>
      </c>
      <c r="K61">
        <f t="shared" si="0"/>
        <v>98000</v>
      </c>
      <c r="M61">
        <v>98</v>
      </c>
      <c r="N61">
        <v>19000</v>
      </c>
      <c r="O61">
        <v>25000</v>
      </c>
    </row>
    <row r="62" spans="1:15" x14ac:dyDescent="0.15">
      <c r="A62">
        <v>99</v>
      </c>
      <c r="B62">
        <v>15000</v>
      </c>
      <c r="D62">
        <v>99</v>
      </c>
      <c r="G62">
        <v>99</v>
      </c>
      <c r="H62">
        <v>7200</v>
      </c>
      <c r="J62">
        <v>99</v>
      </c>
      <c r="K62">
        <f t="shared" si="0"/>
        <v>99000</v>
      </c>
      <c r="M62">
        <v>99</v>
      </c>
      <c r="N62">
        <v>19000</v>
      </c>
      <c r="O62">
        <v>25000</v>
      </c>
    </row>
    <row r="63" spans="1:15" x14ac:dyDescent="0.15">
      <c r="A63">
        <v>100</v>
      </c>
      <c r="B63">
        <v>15000</v>
      </c>
      <c r="D63">
        <v>100</v>
      </c>
      <c r="G63">
        <v>100</v>
      </c>
      <c r="H63">
        <v>7200</v>
      </c>
      <c r="J63">
        <v>100</v>
      </c>
      <c r="K63">
        <f t="shared" si="0"/>
        <v>100000</v>
      </c>
      <c r="M63">
        <v>100</v>
      </c>
      <c r="N63">
        <v>19000</v>
      </c>
      <c r="O63">
        <v>25000</v>
      </c>
    </row>
    <row r="64" spans="1:15" x14ac:dyDescent="0.15">
      <c r="A64">
        <v>101</v>
      </c>
      <c r="B64">
        <v>15000</v>
      </c>
      <c r="D64">
        <v>101</v>
      </c>
      <c r="G64">
        <v>101</v>
      </c>
      <c r="H64">
        <v>7200</v>
      </c>
      <c r="J64">
        <v>101</v>
      </c>
      <c r="M64">
        <v>101</v>
      </c>
      <c r="N64">
        <v>19000</v>
      </c>
      <c r="O64">
        <v>25000</v>
      </c>
    </row>
    <row r="65" spans="1:15" x14ac:dyDescent="0.15">
      <c r="A65">
        <v>102</v>
      </c>
      <c r="B65">
        <v>15000</v>
      </c>
      <c r="D65">
        <v>102</v>
      </c>
      <c r="G65">
        <v>102</v>
      </c>
      <c r="H65">
        <v>7200</v>
      </c>
      <c r="J65">
        <v>102</v>
      </c>
      <c r="M65">
        <v>102</v>
      </c>
      <c r="N65">
        <v>19000</v>
      </c>
      <c r="O65">
        <v>25000</v>
      </c>
    </row>
    <row r="66" spans="1:15" x14ac:dyDescent="0.15">
      <c r="A66">
        <v>103</v>
      </c>
      <c r="B66">
        <v>15000</v>
      </c>
      <c r="D66">
        <v>103</v>
      </c>
      <c r="G66">
        <v>103</v>
      </c>
      <c r="H66">
        <v>7200</v>
      </c>
      <c r="J66">
        <v>103</v>
      </c>
      <c r="M66">
        <v>103</v>
      </c>
      <c r="N66">
        <v>19000</v>
      </c>
      <c r="O66">
        <v>25000</v>
      </c>
    </row>
    <row r="67" spans="1:15" x14ac:dyDescent="0.15">
      <c r="A67">
        <v>104</v>
      </c>
      <c r="B67">
        <v>15000</v>
      </c>
      <c r="D67">
        <v>104</v>
      </c>
      <c r="G67">
        <v>104</v>
      </c>
      <c r="H67">
        <v>7200</v>
      </c>
      <c r="J67">
        <v>104</v>
      </c>
      <c r="M67">
        <v>104</v>
      </c>
      <c r="N67">
        <v>19000</v>
      </c>
      <c r="O67">
        <v>25000</v>
      </c>
    </row>
    <row r="68" spans="1:15" x14ac:dyDescent="0.15">
      <c r="A68">
        <v>105</v>
      </c>
      <c r="B68">
        <v>15000</v>
      </c>
      <c r="D68">
        <v>105</v>
      </c>
      <c r="G68">
        <v>105</v>
      </c>
      <c r="H68">
        <v>7200</v>
      </c>
      <c r="J68">
        <v>105</v>
      </c>
      <c r="M68">
        <v>105</v>
      </c>
      <c r="N68">
        <v>19000</v>
      </c>
      <c r="O68">
        <v>25000</v>
      </c>
    </row>
    <row r="69" spans="1:15" x14ac:dyDescent="0.15">
      <c r="A69">
        <v>106</v>
      </c>
      <c r="B69">
        <v>15000</v>
      </c>
      <c r="D69">
        <v>106</v>
      </c>
      <c r="G69">
        <v>106</v>
      </c>
      <c r="H69">
        <v>7200</v>
      </c>
      <c r="J69">
        <v>106</v>
      </c>
      <c r="M69">
        <v>106</v>
      </c>
      <c r="N69">
        <v>19000</v>
      </c>
      <c r="O69">
        <v>25000</v>
      </c>
    </row>
    <row r="70" spans="1:15" x14ac:dyDescent="0.15">
      <c r="A70">
        <v>107</v>
      </c>
      <c r="B70">
        <v>15000</v>
      </c>
      <c r="D70">
        <v>107</v>
      </c>
      <c r="G70">
        <v>107</v>
      </c>
      <c r="H70">
        <v>7200</v>
      </c>
      <c r="J70">
        <v>107</v>
      </c>
      <c r="M70">
        <v>107</v>
      </c>
      <c r="N70">
        <v>19000</v>
      </c>
      <c r="O70">
        <v>25000</v>
      </c>
    </row>
    <row r="71" spans="1:15" x14ac:dyDescent="0.15">
      <c r="A71">
        <v>108</v>
      </c>
      <c r="B71">
        <v>15000</v>
      </c>
      <c r="D71">
        <v>108</v>
      </c>
      <c r="G71">
        <v>108</v>
      </c>
      <c r="H71">
        <v>7200</v>
      </c>
      <c r="J71">
        <v>108</v>
      </c>
      <c r="M71">
        <v>108</v>
      </c>
      <c r="N71">
        <v>19000</v>
      </c>
      <c r="O71">
        <v>25000</v>
      </c>
    </row>
    <row r="72" spans="1:15" x14ac:dyDescent="0.15">
      <c r="A72">
        <v>109</v>
      </c>
      <c r="B72">
        <v>15000</v>
      </c>
      <c r="D72">
        <v>109</v>
      </c>
      <c r="G72">
        <v>109</v>
      </c>
      <c r="H72">
        <v>7200</v>
      </c>
      <c r="J72">
        <v>109</v>
      </c>
      <c r="M72">
        <v>109</v>
      </c>
      <c r="N72">
        <v>19000</v>
      </c>
      <c r="O72">
        <v>25000</v>
      </c>
    </row>
    <row r="73" spans="1:15" x14ac:dyDescent="0.15">
      <c r="A73">
        <v>110</v>
      </c>
      <c r="B73">
        <v>15000</v>
      </c>
      <c r="D73">
        <v>110</v>
      </c>
      <c r="G73">
        <v>110</v>
      </c>
      <c r="H73">
        <v>7200</v>
      </c>
      <c r="J73">
        <v>110</v>
      </c>
      <c r="M73">
        <v>110</v>
      </c>
      <c r="N73">
        <v>19000</v>
      </c>
      <c r="O73">
        <v>25000</v>
      </c>
    </row>
    <row r="74" spans="1:15" x14ac:dyDescent="0.15">
      <c r="A74" t="s">
        <v>18</v>
      </c>
      <c r="B74" t="s">
        <v>18</v>
      </c>
      <c r="D74">
        <v>-1</v>
      </c>
      <c r="E74">
        <v>0</v>
      </c>
      <c r="G74" t="s">
        <v>18</v>
      </c>
      <c r="H74" t="s">
        <v>18</v>
      </c>
      <c r="J74" t="s">
        <v>18</v>
      </c>
      <c r="K74" t="s">
        <v>18</v>
      </c>
      <c r="M74" t="s">
        <v>18</v>
      </c>
    </row>
  </sheetData>
  <pageMargins left="0.78749999999999998" right="0.78749999999999998" top="1.05277777777778" bottom="1.05277777777778" header="0.78749999999999998" footer="0.78749999999999998"/>
  <pageSetup firstPageNumber="0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3:J79"/>
  <sheetViews>
    <sheetView topLeftCell="A4" zoomScale="114" zoomScaleNormal="60" workbookViewId="0">
      <selection activeCell="G9" sqref="G9"/>
    </sheetView>
  </sheetViews>
  <sheetFormatPr baseColWidth="10" defaultColWidth="11.6640625" defaultRowHeight="13" x14ac:dyDescent="0.15"/>
  <cols>
    <col min="2" max="2" width="20.1640625" customWidth="1"/>
    <col min="5" max="5" width="5.1640625" customWidth="1"/>
    <col min="6" max="6" width="5.5" customWidth="1"/>
    <col min="7" max="7" width="49" style="1" customWidth="1"/>
    <col min="10" max="10" width="21.83203125" customWidth="1"/>
  </cols>
  <sheetData>
    <row r="3" spans="2:10" ht="28" x14ac:dyDescent="0.3">
      <c r="E3" s="34" t="s">
        <v>0</v>
      </c>
      <c r="F3" s="34"/>
      <c r="G3" s="34"/>
    </row>
    <row r="4" spans="2:10" x14ac:dyDescent="0.15">
      <c r="E4" s="35" t="s">
        <v>1</v>
      </c>
      <c r="F4" s="35"/>
      <c r="G4" s="35"/>
    </row>
    <row r="8" spans="2:10" x14ac:dyDescent="0.15">
      <c r="B8" s="2" t="s">
        <v>2</v>
      </c>
      <c r="E8" s="3" t="s">
        <v>3</v>
      </c>
      <c r="F8" s="3" t="s">
        <v>4</v>
      </c>
      <c r="G8" s="4" t="s">
        <v>5</v>
      </c>
      <c r="J8" s="5" t="s">
        <v>6</v>
      </c>
    </row>
    <row r="9" spans="2:10" x14ac:dyDescent="0.15">
      <c r="B9" s="6">
        <v>3</v>
      </c>
      <c r="E9" s="7">
        <f>IF(B13&lt;40, 40, IF((B13&gt;110), 110, B13))</f>
        <v>61</v>
      </c>
      <c r="F9" s="7">
        <v>1</v>
      </c>
      <c r="G9" s="8">
        <f>IF( $B$9=2, IF(E9="",0,VLOOKUP(E9,'Plan Calculation'!$D$3:$E$74,2)), IF(  $B$9=4, IF(E9="",0,VLOOKUP(E9,'Plan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age.",IF($B$9=1,(IF(OR(($B$18&gt;E9),(E9="")),0,IF(OR(((E9-$B$18)&gt;($B$22-1)),(E9="")),0,VLOOKUP(E9,'Plan Calculation'!$A$3:$B$74,2)))), IF($B$9=3,IF(OR(($B$18&gt;E9),(E9="")),0,VLOOKUP(E9,'Plan Calculation'!$G$3:$H$74,2)),IF($B$9=5,IF(E9="",0,IF(OR((E9-$B$18)&gt;($B$22-1),(E9=""),((E9-$B$18)&lt;(0))),0,IF((E9-$B$18)&lt;((($J$18-$B$18)/2)),VLOOKUP(E9,'Plan Calculation'!$M$3:$O$73,2),VLOOKUP(E9,'Plan Calculation'!$M$3:$O$73,3)))),IF($B$9=6,IF(OR(($B$18&gt;E9),(E9="")),0,IF(OR((E9-$B$18)&gt;($B$22-1),(E9="")),0,IF( (E9=$J$18), 100000-(($B$22-1)*(ROUNDUP('Plan Calculation'!$Q$3/$J$13,2))), ROUNDUP('Plan Calculation'!$Q$3/$J$13,2) ))),  IF( $B$9 = 7, IF( OR(($B$18&gt;E9),(E9="")), 0,  IF( OR(((E9-$B$18)&gt;($B$22-1)),(E9="")),0,IF(ISEVEN(E9-$B$18),30000,0))), "Error: Please enter a plan number from 1 to 7.") )))))))))</f>
        <v>0</v>
      </c>
      <c r="J9" s="9">
        <f>IF(OR(B9=2,B9=4),SUM(G9:G79),IF(B13&gt;B18,"",IF(  B18+B22 &gt; 111,  "Error: Can't give payments past the maximum age",SUM(G9:G79))))</f>
        <v>295200</v>
      </c>
    </row>
    <row r="10" spans="2:10" x14ac:dyDescent="0.15">
      <c r="E10" s="7">
        <f t="shared" ref="E10:E41" si="0">IF(OR(E9&lt;40,E9&gt;109),"",E9+1)</f>
        <v>62</v>
      </c>
      <c r="F10" s="7">
        <v>2</v>
      </c>
      <c r="G10" s="8">
        <f>IF( $B$9=2, IF(E10="",0,VLOOKUP(E10,'Plan Calculation'!$D$3:$E$74,2)), IF(  $B$9=4, IF(E10="",0,VLOOKUP(E10,'Plan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age.",IF($B$9=1,(IF(OR(($B$18&gt;E10),(E10="")),0,IF(OR(((E10-$B$18)&gt;($B$22-1)),(E10="")),0,VLOOKUP(E10,'Plan Calculation'!$A$3:$B$74,2)))), IF($B$9=3,IF(OR(($B$18&gt;E10),(E10="")),0,VLOOKUP(E10,'Plan Calculation'!$G$3:$H$74,2)),IF($B$9=5,IF(E10="",0,IF(OR((E10-$B$18)&gt;($B$22-1),(E10=""),((E10-$B$18)&lt;(0))),0,IF((E10-$B$18)&lt;((($J$18-$B$18)/2)),VLOOKUP(E10,'Plan Calculation'!$M$3:$O$73,2),VLOOKUP(E10,'Plan Calculation'!$M$3:$O$73,3)))),IF($B$9=6,IF(OR(($B$18&gt;E10),(E10="")),0,IF(OR((E10-$B$18)&gt;($B$22-1),(E10="")),0,IF( (E10=$J$18), 100000-(($B$22-1)*(ROUNDUP('Plan Calculation'!$Q$3/$J$13,2))), ROUNDUP('Plan Calculation'!$Q$3/$J$13,2) ))),  IF( $B$9 = 7, IF( OR(($B$18&gt;E10),(E10="")), 0,  IF( OR(((E10-$B$18)&gt;($B$22-1)),(E10="")),0,IF(ISEVEN(E10-$B$18),30000,0))), "Error: Please enter a plan number from 1 to 7.") )))))))))</f>
        <v>0</v>
      </c>
    </row>
    <row r="11" spans="2:10" x14ac:dyDescent="0.15">
      <c r="E11" s="7">
        <f t="shared" si="0"/>
        <v>63</v>
      </c>
      <c r="F11" s="7">
        <v>3</v>
      </c>
      <c r="G11" s="8">
        <f>IF( $B$9=2, IF(E11="",0,VLOOKUP(E11,'Plan Calculation'!$D$3:$E$74,2)), IF(  $B$9=4, IF(E11="",0,VLOOKUP(E11,'Plan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age.",IF($B$9=1,(IF(OR(($B$18&gt;E11),(E11="")),0,IF(OR(((E11-$B$18)&gt;($B$22-1)),(E11="")),0,VLOOKUP(E11,'Plan Calculation'!$A$3:$B$74,2)))), IF($B$9=3,IF(OR(($B$18&gt;E11),(E11="")),0,VLOOKUP(E11,'Plan Calculation'!$G$3:$H$74,2)),IF($B$9=5,IF(E11="",0,IF(OR((E11-$B$18)&gt;($B$22-1),(E11=""),((E11-$B$18)&lt;(0))),0,IF((E11-$B$18)&lt;((($J$18-$B$18)/2)),VLOOKUP(E11,'Plan Calculation'!$M$3:$O$73,2),VLOOKUP(E11,'Plan Calculation'!$M$3:$O$73,3)))),IF($B$9=6,IF(OR(($B$18&gt;E11),(E11="")),0,IF(OR((E11-$B$18)&gt;($B$22-1),(E11="")),0,IF( (E11=$J$18), 100000-(($B$22-1)*(ROUNDUP('Plan Calculation'!$Q$3/$J$13,2))), ROUNDUP('Plan Calculation'!$Q$3/$J$13,2) ))),  IF( $B$9 = 7, IF( OR(($B$18&gt;E11),(E11="")), 0,  IF( OR(((E11-$B$18)&gt;($B$22-1)),(E11="")),0,IF(ISEVEN(E11-$B$18),30000,0))), "Error: Please enter a plan number from 1 to 7.") )))))))))</f>
        <v>0</v>
      </c>
    </row>
    <row r="12" spans="2:10" x14ac:dyDescent="0.15">
      <c r="B12" s="5" t="s">
        <v>8</v>
      </c>
      <c r="E12" s="7">
        <f t="shared" si="0"/>
        <v>64</v>
      </c>
      <c r="F12" s="7">
        <v>4</v>
      </c>
      <c r="G12" s="8">
        <f>IF( $B$9=2, IF(E12="",0,VLOOKUP(E12,'Plan Calculation'!$D$3:$E$74,2)), IF(  $B$9=4, IF(E12="",0,VLOOKUP(E12,'Plan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age.",IF($B$9=1,(IF(OR(($B$18&gt;E12),(E12="")),0,IF(OR(((E12-$B$18)&gt;($B$22-1)),(E12="")),0,VLOOKUP(E12,'Plan Calculation'!$A$3:$B$74,2)))), IF($B$9=3,IF(OR(($B$18&gt;E12),(E12="")),0,VLOOKUP(E12,'Plan Calculation'!$G$3:$H$74,2)),IF($B$9=5,IF(E12="",0,IF(OR((E12-$B$18)&gt;($B$22-1),(E12=""),((E12-$B$18)&lt;(0))),0,IF((E12-$B$18)&lt;((($J$18-$B$18)/2)),VLOOKUP(E12,'Plan Calculation'!$M$3:$O$73,2),VLOOKUP(E12,'Plan Calculation'!$M$3:$O$73,3)))),IF($B$9=6,IF(OR(($B$18&gt;E12),(E12="")),0,IF(OR((E12-$B$18)&gt;($B$22-1),(E12="")),0,IF( (E12=$J$18), 100000-(($B$22-1)*(ROUNDUP('Plan Calculation'!$Q$3/$J$13,2))), ROUNDUP('Plan Calculation'!$Q$3/$J$13,2) ))),  IF( $B$9 = 7, IF( OR(($B$18&gt;E12),(E12="")), 0,  IF( OR(((E12-$B$18)&gt;($B$22-1)),(E12="")),0,IF(ISEVEN(E12-$B$18),30000,0))), "Error: Please enter a plan number from 1 to 7.") )))))))))</f>
        <v>0</v>
      </c>
      <c r="J12" s="5" t="s">
        <v>9</v>
      </c>
    </row>
    <row r="13" spans="2:10" x14ac:dyDescent="0.15">
      <c r="B13" s="10">
        <v>61</v>
      </c>
      <c r="E13" s="7">
        <f t="shared" si="0"/>
        <v>65</v>
      </c>
      <c r="F13" s="7">
        <v>5</v>
      </c>
      <c r="G13" s="8">
        <f>IF( $B$9=2, IF(E13="",0,VLOOKUP(E13,'Plan Calculation'!$D$3:$E$74,2)), IF(  $B$9=4, IF(E13="",0,VLOOKUP(E13,'Plan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age.",IF($B$9=1,(IF(OR(($B$18&gt;E13),(E13="")),0,IF(OR(((E13-$B$18)&gt;($B$22-1)),(E13="")),0,VLOOKUP(E13,'Plan Calculation'!$A$3:$B$74,2)))), IF($B$9=3,IF(OR(($B$18&gt;E13),(E13="")),0,VLOOKUP(E13,'Plan Calculation'!$G$3:$H$74,2)),IF($B$9=5,IF(E13="",0,IF(OR((E13-$B$18)&gt;($B$22-1),(E13=""),((E13-$B$18)&lt;(0))),0,IF((E13-$B$18)&lt;((($J$18-$B$18)/2)),VLOOKUP(E13,'Plan Calculation'!$M$3:$O$73,2),VLOOKUP(E13,'Plan Calculation'!$M$3:$O$73,3)))),IF($B$9=6,IF(OR(($B$18&gt;E13),(E13="")),0,IF(OR((E13-$B$18)&gt;($B$22-1),(E13="")),0,IF( (E13=$J$18), 100000-(($B$22-1)*(ROUNDUP('Plan Calculation'!$Q$3/$J$13,2))), ROUNDUP('Plan Calculation'!$Q$3/$J$13,2) ))),  IF( $B$9 = 7, IF( OR(($B$18&gt;E13),(E13="")), 0,  IF( OR(((E13-$B$18)&gt;($B$22-1)),(E13="")),0,IF(ISEVEN(E13-$B$18),30000,0))), "Error: Please enter a plan number from 1 to 7.") )))))))))</f>
        <v>0</v>
      </c>
      <c r="J13" s="11">
        <f>IF(B9=2,IF((E9&lt;66),30,IF(E9&gt;94,"",(J18-B13)+1)),  IF(  B9=4,IF(E9&lt;61,41,IF(E9&gt;100,"",(J18-B13)+1)),IF(B18+B22&gt;111,"Error: Can't give payments past the maximum age.",IF(B13&gt;B18,"",IF(B9=3,IF((B13&gt;B18),(J18-B13+1),(J18-B18)+1),IF((B13&gt;B18),MAX((J18-B13+1),0),IF(B9=7,ROUNDUP(B22/2,0),   IF(   OR(B9 = 5, B9 = 6),  (J18-B18)+1,  IF(B9= 1, (J18-B18)+1, "Error: Please Enter plan from 1 to 7")  ))))))))</f>
        <v>41</v>
      </c>
    </row>
    <row r="14" spans="2:10" x14ac:dyDescent="0.15">
      <c r="E14" s="7">
        <f t="shared" si="0"/>
        <v>66</v>
      </c>
      <c r="F14" s="7">
        <v>6</v>
      </c>
      <c r="G14" s="8">
        <f>IF( $B$9=2, IF(E14="",0,VLOOKUP(E14,'Plan Calculation'!$D$3:$E$74,2)), IF(  $B$9=4, IF(E14="",0,VLOOKUP(E14,'Plan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age.",IF($B$9=1,(IF(OR(($B$18&gt;E14),(E14="")),0,IF(OR(((E14-$B$18)&gt;($B$22-1)),(E14="")),0,VLOOKUP(E14,'Plan Calculation'!$A$3:$B$74,2)))), IF($B$9=3,IF(OR(($B$18&gt;E14),(E14="")),0,VLOOKUP(E14,'Plan Calculation'!$G$3:$H$74,2)),IF($B$9=5,IF(E14="",0,IF(OR((E14-$B$18)&gt;($B$22-1),(E14=""),((E14-$B$18)&lt;(0))),0,IF((E14-$B$18)&lt;((($J$18-$B$18)/2)),VLOOKUP(E14,'Plan Calculation'!$M$3:$O$73,2),VLOOKUP(E14,'Plan Calculation'!$M$3:$O$73,3)))),IF($B$9=6,IF(OR(($B$18&gt;E14),(E14="")),0,IF(OR((E14-$B$18)&gt;($B$22-1),(E14="")),0,IF( (E14=$J$18), 100000-(($B$22-1)*(ROUNDUP('Plan Calculation'!$Q$3/$J$13,2))), ROUNDUP('Plan Calculation'!$Q$3/$J$13,2) ))),  IF( $B$9 = 7, IF( OR(($B$18&gt;E14),(E14="")), 0,  IF( OR(((E14-$B$18)&gt;($B$22-1)),(E14="")),0,IF(ISEVEN(E14-$B$18),30000,0))), "Error: Please enter a plan number from 1 to 7.") )))))))))</f>
        <v>0</v>
      </c>
    </row>
    <row r="15" spans="2:10" x14ac:dyDescent="0.15">
      <c r="E15" s="7">
        <f t="shared" si="0"/>
        <v>67</v>
      </c>
      <c r="F15" s="7">
        <v>7</v>
      </c>
      <c r="G15" s="8">
        <f>IF( $B$9=2, IF(E15="",0,VLOOKUP(E15,'Plan Calculation'!$D$3:$E$74,2)), IF(  $B$9=4, IF(E15="",0,VLOOKUP(E15,'Plan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age.",IF($B$9=1,(IF(OR(($B$18&gt;E15),(E15="")),0,IF(OR(((E15-$B$18)&gt;($B$22-1)),(E15="")),0,VLOOKUP(E15,'Plan Calculation'!$A$3:$B$74,2)))), IF($B$9=3,IF(OR(($B$18&gt;E15),(E15="")),0,VLOOKUP(E15,'Plan Calculation'!$G$3:$H$74,2)),IF($B$9=5,IF(E15="",0,IF(OR((E15-$B$18)&gt;($B$22-1),(E15=""),((E15-$B$18)&lt;(0))),0,IF((E15-$B$18)&lt;((($J$18-$B$18)/2)),VLOOKUP(E15,'Plan Calculation'!$M$3:$O$73,2),VLOOKUP(E15,'Plan Calculation'!$M$3:$O$73,3)))),IF($B$9=6,IF(OR(($B$18&gt;E15),(E15="")),0,IF(OR((E15-$B$18)&gt;($B$22-1),(E15="")),0,IF( (E15=$J$18), 100000-(($B$22-1)*(ROUNDUP('Plan Calculation'!$Q$3/$J$13,2))), ROUNDUP('Plan Calculation'!$Q$3/$J$13,2) ))),  IF( $B$9 = 7, IF( OR(($B$18&gt;E15),(E15="")), 0,  IF( OR(((E15-$B$18)&gt;($B$22-1)),(E15="")),0,IF(ISEVEN(E15-$B$18),30000,0))), "Error: Please enter a plan number from 1 to 7.") )))))))))</f>
        <v>0</v>
      </c>
    </row>
    <row r="16" spans="2:10" x14ac:dyDescent="0.15">
      <c r="E16" s="7">
        <f t="shared" si="0"/>
        <v>68</v>
      </c>
      <c r="F16" s="7">
        <v>8</v>
      </c>
      <c r="G16" s="8">
        <f>IF( $B$9=2, IF(E16="",0,VLOOKUP(E16,'Plan Calculation'!$D$3:$E$74,2)), IF(  $B$9=4, IF(E16="",0,VLOOKUP(E16,'Plan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age.",IF($B$9=1,(IF(OR(($B$18&gt;E16),(E16="")),0,IF(OR(((E16-$B$18)&gt;($B$22-1)),(E16="")),0,VLOOKUP(E16,'Plan Calculation'!$A$3:$B$74,2)))), IF($B$9=3,IF(OR(($B$18&gt;E16),(E16="")),0,VLOOKUP(E16,'Plan Calculation'!$G$3:$H$74,2)),IF($B$9=5,IF(E16="",0,IF(OR((E16-$B$18)&gt;($B$22-1),(E16=""),((E16-$B$18)&lt;(0))),0,IF((E16-$B$18)&lt;((($J$18-$B$18)/2)),VLOOKUP(E16,'Plan Calculation'!$M$3:$O$73,2),VLOOKUP(E16,'Plan Calculation'!$M$3:$O$73,3)))),IF($B$9=6,IF(OR(($B$18&gt;E16),(E16="")),0,IF(OR((E16-$B$18)&gt;($B$22-1),(E16="")),0,IF( (E16=$J$18), 100000-(($B$22-1)*(ROUNDUP('Plan Calculation'!$Q$3/$J$13,2))), ROUNDUP('Plan Calculation'!$Q$3/$J$13,2) ))),  IF( $B$9 = 7, IF( OR(($B$18&gt;E16),(E16="")), 0,  IF( OR(((E16-$B$18)&gt;($B$22-1)),(E16="")),0,IF(ISEVEN(E16-$B$18),30000,0))), "Error: Please enter a plan number from 1 to 7.") )))))))))</f>
        <v>0</v>
      </c>
    </row>
    <row r="17" spans="2:10" x14ac:dyDescent="0.15">
      <c r="B17" s="5" t="s">
        <v>10</v>
      </c>
      <c r="E17" s="7">
        <f t="shared" si="0"/>
        <v>69</v>
      </c>
      <c r="F17" s="7">
        <v>9</v>
      </c>
      <c r="G17" s="8">
        <f>IF( $B$9=2, IF(E17="",0,VLOOKUP(E17,'Plan Calculation'!$D$3:$E$74,2)), IF(  $B$9=4, IF(E17="",0,VLOOKUP(E17,'Plan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age.",IF($B$9=1,(IF(OR(($B$18&gt;E17),(E17="")),0,IF(OR(((E17-$B$18)&gt;($B$22-1)),(E17="")),0,VLOOKUP(E17,'Plan Calculation'!$A$3:$B$74,2)))), IF($B$9=3,IF(OR(($B$18&gt;E17),(E17="")),0,VLOOKUP(E17,'Plan Calculation'!$G$3:$H$74,2)),IF($B$9=5,IF(E17="",0,IF(OR((E17-$B$18)&gt;($B$22-1),(E17=""),((E17-$B$18)&lt;(0))),0,IF((E17-$B$18)&lt;((($J$18-$B$18)/2)),VLOOKUP(E17,'Plan Calculation'!$M$3:$O$73,2),VLOOKUP(E17,'Plan Calculation'!$M$3:$O$73,3)))),IF($B$9=6,IF(OR(($B$18&gt;E17),(E17="")),0,IF(OR((E17-$B$18)&gt;($B$22-1),(E17="")),0,IF( (E17=$J$18), 100000-(($B$22-1)*(ROUNDUP('Plan Calculation'!$Q$3/$J$13,2))), ROUNDUP('Plan Calculation'!$Q$3/$J$13,2) ))),  IF( $B$9 = 7, IF( OR(($B$18&gt;E17),(E17="")), 0,  IF( OR(((E17-$B$18)&gt;($B$22-1)),(E17="")),0,IF(ISEVEN(E17-$B$18),30000,0))), "Error: Please enter a plan number from 1 to 7.") )))))))))</f>
        <v>0</v>
      </c>
      <c r="J17" s="5" t="s">
        <v>11</v>
      </c>
    </row>
    <row r="18" spans="2:10" x14ac:dyDescent="0.15">
      <c r="B18" s="10">
        <v>70</v>
      </c>
      <c r="E18" s="7">
        <f t="shared" si="0"/>
        <v>70</v>
      </c>
      <c r="F18" s="7">
        <v>10</v>
      </c>
      <c r="G18" s="8">
        <f>IF( $B$9=2, IF(E18="",0,VLOOKUP(E18,'Plan Calculation'!$D$3:$E$74,2)), IF(  $B$9=4, IF(E18="",0,VLOOKUP(E18,'Plan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age.",IF($B$9=1,(IF(OR(($B$18&gt;E18),(E18="")),0,IF(OR(((E18-$B$18)&gt;($B$22-1)),(E18="")),0,VLOOKUP(E18,'Plan Calculation'!$A$3:$B$74,2)))), IF($B$9=3,IF(OR(($B$18&gt;E18),(E18="")),0,VLOOKUP(E18,'Plan Calculation'!$G$3:$H$74,2)),IF($B$9=5,IF(E18="",0,IF(OR((E18-$B$18)&gt;($B$22-1),(E18=""),((E18-$B$18)&lt;(0))),0,IF((E18-$B$18)&lt;((($J$18-$B$18)/2)),VLOOKUP(E18,'Plan Calculation'!$M$3:$O$73,2),VLOOKUP(E18,'Plan Calculation'!$M$3:$O$73,3)))),IF($B$9=6,IF(OR(($B$18&gt;E18),(E18="")),0,IF(OR((E18-$B$18)&gt;($B$22-1),(E18="")),0,IF( (E18=$J$18), 100000-(($B$22-1)*(ROUNDUP('Plan Calculation'!$Q$3/$J$13,2))), ROUNDUP('Plan Calculation'!$Q$3/$J$13,2) ))),  IF( $B$9 = 7, IF( OR(($B$18&gt;E18),(E18="")), 0,  IF( OR(((E18-$B$18)&gt;($B$22-1)),(E18="")),0,IF(ISEVEN(E18-$B$18),30000,0))), "Error: Please enter a plan number from 1 to 7.") )))))))))</f>
        <v>7200</v>
      </c>
      <c r="J18" s="11">
        <f>IF( B9 = 2,  IF((E9&gt;94),"Error: Payments can't be given past 94 years. Please enter a number between 65 and 94.",94), IF( B9 = 4, IF(E9&gt;100,"Error: Payments can't be given past 100 years. Please enter a number between 60 and 100.",100), IF( B18+B22 &gt; 111, "Error: Can't give payments past 110. ",IF( B13&gt;B18, "", IF(B9 = 3, 110, IF(B9 = 7, IF(ISEVEN(B22),  MIN(B18+B22-1, 110) - 1, MIN(B18+B22-1, 110)),      IF(   OR(B9=5, B9=6), MIN(B18+B22-1, 110), IF( B9 = 1, MIN(B18+B22-1, 110), "Error: Please enter a plan from 1 to 7." )) ))))))</f>
        <v>110</v>
      </c>
    </row>
    <row r="19" spans="2:10" x14ac:dyDescent="0.15">
      <c r="E19" s="7">
        <f t="shared" si="0"/>
        <v>71</v>
      </c>
      <c r="F19" s="7">
        <v>11</v>
      </c>
      <c r="G19" s="8">
        <f>IF( $B$9=2, IF(E19="",0,VLOOKUP(E19,'Plan Calculation'!$D$3:$E$74,2)), IF(  $B$9=4, IF(E19="",0,VLOOKUP(E19,'Plan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age.",IF($B$9=1,(IF(OR(($B$18&gt;E19),(E19="")),0,IF(OR(((E19-$B$18)&gt;($B$22-1)),(E19="")),0,VLOOKUP(E19,'Plan Calculation'!$A$3:$B$74,2)))), IF($B$9=3,IF(OR(($B$18&gt;E19),(E19="")),0,VLOOKUP(E19,'Plan Calculation'!$G$3:$H$74,2)),IF($B$9=5,IF(E19="",0,IF(OR((E19-$B$18)&gt;($B$22-1),(E19=""),((E19-$B$18)&lt;(0))),0,IF((E19-$B$18)&lt;((($J$18-$B$18)/2)),VLOOKUP(E19,'Plan Calculation'!$M$3:$O$73,2),VLOOKUP(E19,'Plan Calculation'!$M$3:$O$73,3)))),IF($B$9=6,IF(OR(($B$18&gt;E19),(E19="")),0,IF(OR((E19-$B$18)&gt;($B$22-1),(E19="")),0,IF( (E19=$J$18), 100000-(($B$22-1)*(ROUNDUP('Plan Calculation'!$Q$3/$J$13,2))), ROUNDUP('Plan Calculation'!$Q$3/$J$13,2) ))),  IF( $B$9 = 7, IF( OR(($B$18&gt;E19),(E19="")), 0,  IF( OR(((E19-$B$18)&gt;($B$22-1)),(E19="")),0,IF(ISEVEN(E19-$B$18),30000,0))), "Error: Please enter a plan number from 1 to 7.") )))))))))</f>
        <v>7200</v>
      </c>
    </row>
    <row r="20" spans="2:10" x14ac:dyDescent="0.15">
      <c r="E20" s="7">
        <f t="shared" si="0"/>
        <v>72</v>
      </c>
      <c r="F20" s="7">
        <v>12</v>
      </c>
      <c r="G20" s="8">
        <f>IF( $B$9=2, IF(E20="",0,VLOOKUP(E20,'Plan Calculation'!$D$3:$E$74,2)), IF(  $B$9=4, IF(E20="",0,VLOOKUP(E20,'Plan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age.",IF($B$9=1,(IF(OR(($B$18&gt;E20),(E20="")),0,IF(OR(((E20-$B$18)&gt;($B$22-1)),(E20="")),0,VLOOKUP(E20,'Plan Calculation'!$A$3:$B$74,2)))), IF($B$9=3,IF(OR(($B$18&gt;E20),(E20="")),0,VLOOKUP(E20,'Plan Calculation'!$G$3:$H$74,2)),IF($B$9=5,IF(E20="",0,IF(OR((E20-$B$18)&gt;($B$22-1),(E20=""),((E20-$B$18)&lt;(0))),0,IF((E20-$B$18)&lt;((($J$18-$B$18)/2)),VLOOKUP(E20,'Plan Calculation'!$M$3:$O$73,2),VLOOKUP(E20,'Plan Calculation'!$M$3:$O$73,3)))),IF($B$9=6,IF(OR(($B$18&gt;E20),(E20="")),0,IF(OR((E20-$B$18)&gt;($B$22-1),(E20="")),0,IF( (E20=$J$18), 100000-(($B$22-1)*(ROUNDUP('Plan Calculation'!$Q$3/$J$13,2))), ROUNDUP('Plan Calculation'!$Q$3/$J$13,2) ))),  IF( $B$9 = 7, IF( OR(($B$18&gt;E20),(E20="")), 0,  IF( OR(((E20-$B$18)&gt;($B$22-1)),(E20="")),0,IF(ISEVEN(E20-$B$18),30000,0))), "Error: Please enter a plan number from 1 to 7.") )))))))))</f>
        <v>7200</v>
      </c>
    </row>
    <row r="21" spans="2:10" x14ac:dyDescent="0.15">
      <c r="B21" s="5" t="s">
        <v>12</v>
      </c>
      <c r="E21" s="7">
        <f t="shared" si="0"/>
        <v>73</v>
      </c>
      <c r="F21" s="7">
        <v>13</v>
      </c>
      <c r="G21" s="8">
        <f>IF( $B$9=2, IF(E21="",0,VLOOKUP(E21,'Plan Calculation'!$D$3:$E$74,2)), IF(  $B$9=4, IF(E21="",0,VLOOKUP(E21,'Plan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age.",IF($B$9=1,(IF(OR(($B$18&gt;E21),(E21="")),0,IF(OR(((E21-$B$18)&gt;($B$22-1)),(E21="")),0,VLOOKUP(E21,'Plan Calculation'!$A$3:$B$74,2)))), IF($B$9=3,IF(OR(($B$18&gt;E21),(E21="")),0,VLOOKUP(E21,'Plan Calculation'!$G$3:$H$74,2)),IF($B$9=5,IF(E21="",0,IF(OR((E21-$B$18)&gt;($B$22-1),(E21=""),((E21-$B$18)&lt;(0))),0,IF((E21-$B$18)&lt;((($J$18-$B$18)/2)),VLOOKUP(E21,'Plan Calculation'!$M$3:$O$73,2),VLOOKUP(E21,'Plan Calculation'!$M$3:$O$73,3)))),IF($B$9=6,IF(OR(($B$18&gt;E21),(E21="")),0,IF(OR((E21-$B$18)&gt;($B$22-1),(E21="")),0,IF( (E21=$J$18), 100000-(($B$22-1)*(ROUNDUP('Plan Calculation'!$Q$3/$J$13,2))), ROUNDUP('Plan Calculation'!$Q$3/$J$13,2) ))),  IF( $B$9 = 7, IF( OR(($B$18&gt;E21),(E21="")), 0,  IF( OR(((E21-$B$18)&gt;($B$22-1)),(E21="")),0,IF(ISEVEN(E21-$B$18),30000,0))), "Error: Please enter a plan number from 1 to 7.") )))))))))</f>
        <v>7200</v>
      </c>
    </row>
    <row r="22" spans="2:10" x14ac:dyDescent="0.15">
      <c r="B22" s="12"/>
      <c r="E22" s="7">
        <f t="shared" si="0"/>
        <v>74</v>
      </c>
      <c r="F22" s="7">
        <v>14</v>
      </c>
      <c r="G22" s="8">
        <f>IF( $B$9=2, IF(E22="",0,VLOOKUP(E22,'Plan Calculation'!$D$3:$E$74,2)), IF(  $B$9=4, IF(E22="",0,VLOOKUP(E22,'Plan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age.",IF($B$9=1,(IF(OR(($B$18&gt;E22),(E22="")),0,IF(OR(((E22-$B$18)&gt;($B$22-1)),(E22="")),0,VLOOKUP(E22,'Plan Calculation'!$A$3:$B$74,2)))), IF($B$9=3,IF(OR(($B$18&gt;E22),(E22="")),0,VLOOKUP(E22,'Plan Calculation'!$G$3:$H$74,2)),IF($B$9=5,IF(E22="",0,IF(OR((E22-$B$18)&gt;($B$22-1),(E22=""),((E22-$B$18)&lt;(0))),0,IF((E22-$B$18)&lt;((($J$18-$B$18)/2)),VLOOKUP(E22,'Plan Calculation'!$M$3:$O$73,2),VLOOKUP(E22,'Plan Calculation'!$M$3:$O$73,3)))),IF($B$9=6,IF(OR(($B$18&gt;E22),(E22="")),0,IF(OR((E22-$B$18)&gt;($B$22-1),(E22="")),0,IF( (E22=$J$18), 100000-(($B$22-1)*(ROUNDUP('Plan Calculation'!$Q$3/$J$13,2))), ROUNDUP('Plan Calculation'!$Q$3/$J$13,2) ))),  IF( $B$9 = 7, IF( OR(($B$18&gt;E22),(E22="")), 0,  IF( OR(((E22-$B$18)&gt;($B$22-1)),(E22="")),0,IF(ISEVEN(E22-$B$18),30000,0))), "Error: Please enter a plan number from 1 to 7.") )))))))))</f>
        <v>7200</v>
      </c>
    </row>
    <row r="23" spans="2:10" x14ac:dyDescent="0.15">
      <c r="C23" s="13"/>
      <c r="E23" s="7">
        <f t="shared" si="0"/>
        <v>75</v>
      </c>
      <c r="F23" s="7">
        <v>15</v>
      </c>
      <c r="G23" s="8">
        <f>IF( $B$9=2, IF(E23="",0,VLOOKUP(E23,'Plan Calculation'!$D$3:$E$74,2)), IF(  $B$9=4, IF(E23="",0,VLOOKUP(E23,'Plan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age.",IF($B$9=1,(IF(OR(($B$18&gt;E23),(E23="")),0,IF(OR(((E23-$B$18)&gt;($B$22-1)),(E23="")),0,VLOOKUP(E23,'Plan Calculation'!$A$3:$B$74,2)))), IF($B$9=3,IF(OR(($B$18&gt;E23),(E23="")),0,VLOOKUP(E23,'Plan Calculation'!$G$3:$H$74,2)),IF($B$9=5,IF(E23="",0,IF(OR((E23-$B$18)&gt;($B$22-1),(E23=""),((E23-$B$18)&lt;(0))),0,IF((E23-$B$18)&lt;((($J$18-$B$18)/2)),VLOOKUP(E23,'Plan Calculation'!$M$3:$O$73,2),VLOOKUP(E23,'Plan Calculation'!$M$3:$O$73,3)))),IF($B$9=6,IF(OR(($B$18&gt;E23),(E23="")),0,IF(OR((E23-$B$18)&gt;($B$22-1),(E23="")),0,IF( (E23=$J$18), 100000-(($B$22-1)*(ROUNDUP('Plan Calculation'!$Q$3/$J$13,2))), ROUNDUP('Plan Calculation'!$Q$3/$J$13,2) ))),  IF( $B$9 = 7, IF( OR(($B$18&gt;E23),(E23="")), 0,  IF( OR(((E23-$B$18)&gt;($B$22-1)),(E23="")),0,IF(ISEVEN(E23-$B$18),30000,0))), "Error: Please enter a plan number from 1 to 7.") )))))))))</f>
        <v>7200</v>
      </c>
    </row>
    <row r="24" spans="2:10" x14ac:dyDescent="0.15">
      <c r="E24" s="7">
        <f t="shared" si="0"/>
        <v>76</v>
      </c>
      <c r="F24" s="7">
        <v>16</v>
      </c>
      <c r="G24" s="8">
        <f>IF( $B$9=2, IF(E24="",0,VLOOKUP(E24,'Plan Calculation'!$D$3:$E$74,2)), IF(  $B$9=4, IF(E24="",0,VLOOKUP(E24,'Plan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age.",IF($B$9=1,(IF(OR(($B$18&gt;E24),(E24="")),0,IF(OR(((E24-$B$18)&gt;($B$22-1)),(E24="")),0,VLOOKUP(E24,'Plan Calculation'!$A$3:$B$74,2)))), IF($B$9=3,IF(OR(($B$18&gt;E24),(E24="")),0,VLOOKUP(E24,'Plan Calculation'!$G$3:$H$74,2)),IF($B$9=5,IF(E24="",0,IF(OR((E24-$B$18)&gt;($B$22-1),(E24=""),((E24-$B$18)&lt;(0))),0,IF((E24-$B$18)&lt;((($J$18-$B$18)/2)),VLOOKUP(E24,'Plan Calculation'!$M$3:$O$73,2),VLOOKUP(E24,'Plan Calculation'!$M$3:$O$73,3)))),IF($B$9=6,IF(OR(($B$18&gt;E24),(E24="")),0,IF(OR((E24-$B$18)&gt;($B$22-1),(E24="")),0,IF( (E24=$J$18), 100000-(($B$22-1)*(ROUNDUP('Plan Calculation'!$Q$3/$J$13,2))), ROUNDUP('Plan Calculation'!$Q$3/$J$13,2) ))),  IF( $B$9 = 7, IF( OR(($B$18&gt;E24),(E24="")), 0,  IF( OR(((E24-$B$18)&gt;($B$22-1)),(E24="")),0,IF(ISEVEN(E24-$B$18),30000,0))), "Error: Please enter a plan number from 1 to 7.") )))))))))</f>
        <v>7200</v>
      </c>
    </row>
    <row r="25" spans="2:10" x14ac:dyDescent="0.15">
      <c r="C25" s="13"/>
      <c r="E25" s="7">
        <f t="shared" si="0"/>
        <v>77</v>
      </c>
      <c r="F25" s="7">
        <v>17</v>
      </c>
      <c r="G25" s="8">
        <f>IF( $B$9=2, IF(E25="",0,VLOOKUP(E25,'Plan Calculation'!$D$3:$E$74,2)), IF(  $B$9=4, IF(E25="",0,VLOOKUP(E25,'Plan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age.",IF($B$9=1,(IF(OR(($B$18&gt;E25),(E25="")),0,IF(OR(((E25-$B$18)&gt;($B$22-1)),(E25="")),0,VLOOKUP(E25,'Plan Calculation'!$A$3:$B$74,2)))), IF($B$9=3,IF(OR(($B$18&gt;E25),(E25="")),0,VLOOKUP(E25,'Plan Calculation'!$G$3:$H$74,2)),IF($B$9=5,IF(E25="",0,IF(OR((E25-$B$18)&gt;($B$22-1),(E25=""),((E25-$B$18)&lt;(0))),0,IF((E25-$B$18)&lt;((($J$18-$B$18)/2)),VLOOKUP(E25,'Plan Calculation'!$M$3:$O$73,2),VLOOKUP(E25,'Plan Calculation'!$M$3:$O$73,3)))),IF($B$9=6,IF(OR(($B$18&gt;E25),(E25="")),0,IF(OR((E25-$B$18)&gt;($B$22-1),(E25="")),0,IF( (E25=$J$18), 100000-(($B$22-1)*(ROUNDUP('Plan Calculation'!$Q$3/$J$13,2))), ROUNDUP('Plan Calculation'!$Q$3/$J$13,2) ))),  IF( $B$9 = 7, IF( OR(($B$18&gt;E25),(E25="")), 0,  IF( OR(((E25-$B$18)&gt;($B$22-1)),(E25="")),0,IF(ISEVEN(E25-$B$18),30000,0))), "Error: Please enter a plan number from 1 to 7.") )))))))))</f>
        <v>7200</v>
      </c>
    </row>
    <row r="26" spans="2:10" x14ac:dyDescent="0.15">
      <c r="E26" s="7">
        <f t="shared" si="0"/>
        <v>78</v>
      </c>
      <c r="F26" s="7">
        <v>18</v>
      </c>
      <c r="G26" s="8">
        <f>IF( $B$9=2, IF(E26="",0,VLOOKUP(E26,'Plan Calculation'!$D$3:$E$74,2)), IF(  $B$9=4, IF(E26="",0,VLOOKUP(E26,'Plan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age.",IF($B$9=1,(IF(OR(($B$18&gt;E26),(E26="")),0,IF(OR(((E26-$B$18)&gt;($B$22-1)),(E26="")),0,VLOOKUP(E26,'Plan Calculation'!$A$3:$B$74,2)))), IF($B$9=3,IF(OR(($B$18&gt;E26),(E26="")),0,VLOOKUP(E26,'Plan Calculation'!$G$3:$H$74,2)),IF($B$9=5,IF(E26="",0,IF(OR((E26-$B$18)&gt;($B$22-1),(E26=""),((E26-$B$18)&lt;(0))),0,IF((E26-$B$18)&lt;((($J$18-$B$18)/2)),VLOOKUP(E26,'Plan Calculation'!$M$3:$O$73,2),VLOOKUP(E26,'Plan Calculation'!$M$3:$O$73,3)))),IF($B$9=6,IF(OR(($B$18&gt;E26),(E26="")),0,IF(OR((E26-$B$18)&gt;($B$22-1),(E26="")),0,IF( (E26=$J$18), 100000-(($B$22-1)*(ROUNDUP('Plan Calculation'!$Q$3/$J$13,2))), ROUNDUP('Plan Calculation'!$Q$3/$J$13,2) ))),  IF( $B$9 = 7, IF( OR(($B$18&gt;E26),(E26="")), 0,  IF( OR(((E26-$B$18)&gt;($B$22-1)),(E26="")),0,IF(ISEVEN(E26-$B$18),30000,0))), "Error: Please enter a plan number from 1 to 7.") )))))))))</f>
        <v>7200</v>
      </c>
    </row>
    <row r="27" spans="2:10" x14ac:dyDescent="0.15">
      <c r="E27" s="7">
        <f t="shared" si="0"/>
        <v>79</v>
      </c>
      <c r="F27" s="7">
        <v>19</v>
      </c>
      <c r="G27" s="8">
        <f>IF( $B$9=2, IF(E27="",0,VLOOKUP(E27,'Plan Calculation'!$D$3:$E$74,2)), IF(  $B$9=4, IF(E27="",0,VLOOKUP(E27,'Plan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age.",IF($B$9=1,(IF(OR(($B$18&gt;E27),(E27="")),0,IF(OR(((E27-$B$18)&gt;($B$22-1)),(E27="")),0,VLOOKUP(E27,'Plan Calculation'!$A$3:$B$74,2)))), IF($B$9=3,IF(OR(($B$18&gt;E27),(E27="")),0,VLOOKUP(E27,'Plan Calculation'!$G$3:$H$74,2)),IF($B$9=5,IF(E27="",0,IF(OR((E27-$B$18)&gt;($B$22-1),(E27=""),((E27-$B$18)&lt;(0))),0,IF((E27-$B$18)&lt;((($J$18-$B$18)/2)),VLOOKUP(E27,'Plan Calculation'!$M$3:$O$73,2),VLOOKUP(E27,'Plan Calculation'!$M$3:$O$73,3)))),IF($B$9=6,IF(OR(($B$18&gt;E27),(E27="")),0,IF(OR((E27-$B$18)&gt;($B$22-1),(E27="")),0,IF( (E27=$J$18), 100000-(($B$22-1)*(ROUNDUP('Plan Calculation'!$Q$3/$J$13,2))), ROUNDUP('Plan Calculation'!$Q$3/$J$13,2) ))),  IF( $B$9 = 7, IF( OR(($B$18&gt;E27),(E27="")), 0,  IF( OR(((E27-$B$18)&gt;($B$22-1)),(E27="")),0,IF(ISEVEN(E27-$B$18),30000,0))), "Error: Please enter a plan number from 1 to 7.") )))))))))</f>
        <v>7200</v>
      </c>
    </row>
    <row r="28" spans="2:10" x14ac:dyDescent="0.15">
      <c r="E28" s="7">
        <f t="shared" si="0"/>
        <v>80</v>
      </c>
      <c r="F28" s="7">
        <v>20</v>
      </c>
      <c r="G28" s="8">
        <f>IF( $B$9=2, IF(E28="",0,VLOOKUP(E28,'Plan Calculation'!$D$3:$E$74,2)), IF(  $B$9=4, IF(E28="",0,VLOOKUP(E28,'Plan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age.",IF($B$9=1,(IF(OR(($B$18&gt;E28),(E28="")),0,IF(OR(((E28-$B$18)&gt;($B$22-1)),(E28="")),0,VLOOKUP(E28,'Plan Calculation'!$A$3:$B$74,2)))), IF($B$9=3,IF(OR(($B$18&gt;E28),(E28="")),0,VLOOKUP(E28,'Plan Calculation'!$G$3:$H$74,2)),IF($B$9=5,IF(E28="",0,IF(OR((E28-$B$18)&gt;($B$22-1),(E28=""),((E28-$B$18)&lt;(0))),0,IF((E28-$B$18)&lt;((($J$18-$B$18)/2)),VLOOKUP(E28,'Plan Calculation'!$M$3:$O$73,2),VLOOKUP(E28,'Plan Calculation'!$M$3:$O$73,3)))),IF($B$9=6,IF(OR(($B$18&gt;E28),(E28="")),0,IF(OR((E28-$B$18)&gt;($B$22-1),(E28="")),0,IF( (E28=$J$18), 100000-(($B$22-1)*(ROUNDUP('Plan Calculation'!$Q$3/$J$13,2))), ROUNDUP('Plan Calculation'!$Q$3/$J$13,2) ))),  IF( $B$9 = 7, IF( OR(($B$18&gt;E28),(E28="")), 0,  IF( OR(((E28-$B$18)&gt;($B$22-1)),(E28="")),0,IF(ISEVEN(E28-$B$18),30000,0))), "Error: Please enter a plan number from 1 to 7.") )))))))))</f>
        <v>7200</v>
      </c>
    </row>
    <row r="29" spans="2:10" x14ac:dyDescent="0.15">
      <c r="E29" s="7">
        <f t="shared" si="0"/>
        <v>81</v>
      </c>
      <c r="F29" s="7">
        <v>21</v>
      </c>
      <c r="G29" s="8">
        <f>IF( $B$9=2, IF(E29="",0,VLOOKUP(E29,'Plan Calculation'!$D$3:$E$74,2)), IF(  $B$9=4, IF(E29="",0,VLOOKUP(E29,'Plan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age.",IF($B$9=1,(IF(OR(($B$18&gt;E29),(E29="")),0,IF(OR(((E29-$B$18)&gt;($B$22-1)),(E29="")),0,VLOOKUP(E29,'Plan Calculation'!$A$3:$B$74,2)))), IF($B$9=3,IF(OR(($B$18&gt;E29),(E29="")),0,VLOOKUP(E29,'Plan Calculation'!$G$3:$H$74,2)),IF($B$9=5,IF(E29="",0,IF(OR((E29-$B$18)&gt;($B$22-1),(E29=""),((E29-$B$18)&lt;(0))),0,IF((E29-$B$18)&lt;((($J$18-$B$18)/2)),VLOOKUP(E29,'Plan Calculation'!$M$3:$O$73,2),VLOOKUP(E29,'Plan Calculation'!$M$3:$O$73,3)))),IF($B$9=6,IF(OR(($B$18&gt;E29),(E29="")),0,IF(OR((E29-$B$18)&gt;($B$22-1),(E29="")),0,IF( (E29=$J$18), 100000-(($B$22-1)*(ROUNDUP('Plan Calculation'!$Q$3/$J$13,2))), ROUNDUP('Plan Calculation'!$Q$3/$J$13,2) ))),  IF( $B$9 = 7, IF( OR(($B$18&gt;E29),(E29="")), 0,  IF( OR(((E29-$B$18)&gt;($B$22-1)),(E29="")),0,IF(ISEVEN(E29-$B$18),30000,0))), "Error: Please enter a plan number from 1 to 7.") )))))))))</f>
        <v>7200</v>
      </c>
    </row>
    <row r="30" spans="2:10" x14ac:dyDescent="0.15">
      <c r="E30" s="7">
        <f t="shared" si="0"/>
        <v>82</v>
      </c>
      <c r="F30" s="7">
        <v>22</v>
      </c>
      <c r="G30" s="8">
        <f>IF( $B$9=2, IF(E30="",0,VLOOKUP(E30,'Plan Calculation'!$D$3:$E$74,2)), IF(  $B$9=4, IF(E30="",0,VLOOKUP(E30,'Plan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age.",IF($B$9=1,(IF(OR(($B$18&gt;E30),(E30="")),0,IF(OR(((E30-$B$18)&gt;($B$22-1)),(E30="")),0,VLOOKUP(E30,'Plan Calculation'!$A$3:$B$74,2)))), IF($B$9=3,IF(OR(($B$18&gt;E30),(E30="")),0,VLOOKUP(E30,'Plan Calculation'!$G$3:$H$74,2)),IF($B$9=5,IF(E30="",0,IF(OR((E30-$B$18)&gt;($B$22-1),(E30=""),((E30-$B$18)&lt;(0))),0,IF((E30-$B$18)&lt;((($J$18-$B$18)/2)),VLOOKUP(E30,'Plan Calculation'!$M$3:$O$73,2),VLOOKUP(E30,'Plan Calculation'!$M$3:$O$73,3)))),IF($B$9=6,IF(OR(($B$18&gt;E30),(E30="")),0,IF(OR((E30-$B$18)&gt;($B$22-1),(E30="")),0,IF( (E30=$J$18), 100000-(($B$22-1)*(ROUNDUP('Plan Calculation'!$Q$3/$J$13,2))), ROUNDUP('Plan Calculation'!$Q$3/$J$13,2) ))),  IF( $B$9 = 7, IF( OR(($B$18&gt;E30),(E30="")), 0,  IF( OR(((E30-$B$18)&gt;($B$22-1)),(E30="")),0,IF(ISEVEN(E30-$B$18),30000,0))), "Error: Please enter a plan number from 1 to 7.") )))))))))</f>
        <v>7200</v>
      </c>
    </row>
    <row r="31" spans="2:10" x14ac:dyDescent="0.15">
      <c r="E31" s="7">
        <f t="shared" si="0"/>
        <v>83</v>
      </c>
      <c r="F31" s="7">
        <v>23</v>
      </c>
      <c r="G31" s="8">
        <f>IF( $B$9=2, IF(E31="",0,VLOOKUP(E31,'Plan Calculation'!$D$3:$E$74,2)), IF(  $B$9=4, IF(E31="",0,VLOOKUP(E31,'Plan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age.",IF($B$9=1,(IF(OR(($B$18&gt;E31),(E31="")),0,IF(OR(((E31-$B$18)&gt;($B$22-1)),(E31="")),0,VLOOKUP(E31,'Plan Calculation'!$A$3:$B$74,2)))), IF($B$9=3,IF(OR(($B$18&gt;E31),(E31="")),0,VLOOKUP(E31,'Plan Calculation'!$G$3:$H$74,2)),IF($B$9=5,IF(E31="",0,IF(OR((E31-$B$18)&gt;($B$22-1),(E31=""),((E31-$B$18)&lt;(0))),0,IF((E31-$B$18)&lt;((($J$18-$B$18)/2)),VLOOKUP(E31,'Plan Calculation'!$M$3:$O$73,2),VLOOKUP(E31,'Plan Calculation'!$M$3:$O$73,3)))),IF($B$9=6,IF(OR(($B$18&gt;E31),(E31="")),0,IF(OR((E31-$B$18)&gt;($B$22-1),(E31="")),0,IF( (E31=$J$18), 100000-(($B$22-1)*(ROUNDUP('Plan Calculation'!$Q$3/$J$13,2))), ROUNDUP('Plan Calculation'!$Q$3/$J$13,2) ))),  IF( $B$9 = 7, IF( OR(($B$18&gt;E31),(E31="")), 0,  IF( OR(((E31-$B$18)&gt;($B$22-1)),(E31="")),0,IF(ISEVEN(E31-$B$18),30000,0))), "Error: Please enter a plan number from 1 to 7.") )))))))))</f>
        <v>7200</v>
      </c>
    </row>
    <row r="32" spans="2:10" x14ac:dyDescent="0.15">
      <c r="E32" s="7">
        <f t="shared" si="0"/>
        <v>84</v>
      </c>
      <c r="F32" s="7">
        <v>24</v>
      </c>
      <c r="G32" s="8">
        <f>IF( $B$9=2, IF(E32="",0,VLOOKUP(E32,'Plan Calculation'!$D$3:$E$74,2)), IF(  $B$9=4, IF(E32="",0,VLOOKUP(E32,'Plan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age.",IF($B$9=1,(IF(OR(($B$18&gt;E32),(E32="")),0,IF(OR(((E32-$B$18)&gt;($B$22-1)),(E32="")),0,VLOOKUP(E32,'Plan Calculation'!$A$3:$B$74,2)))), IF($B$9=3,IF(OR(($B$18&gt;E32),(E32="")),0,VLOOKUP(E32,'Plan Calculation'!$G$3:$H$74,2)),IF($B$9=5,IF(E32="",0,IF(OR((E32-$B$18)&gt;($B$22-1),(E32=""),((E32-$B$18)&lt;(0))),0,IF((E32-$B$18)&lt;((($J$18-$B$18)/2)),VLOOKUP(E32,'Plan Calculation'!$M$3:$O$73,2),VLOOKUP(E32,'Plan Calculation'!$M$3:$O$73,3)))),IF($B$9=6,IF(OR(($B$18&gt;E32),(E32="")),0,IF(OR((E32-$B$18)&gt;($B$22-1),(E32="")),0,IF( (E32=$J$18), 100000-(($B$22-1)*(ROUNDUP('Plan Calculation'!$Q$3/$J$13,2))), ROUNDUP('Plan Calculation'!$Q$3/$J$13,2) ))),  IF( $B$9 = 7, IF( OR(($B$18&gt;E32),(E32="")), 0,  IF( OR(((E32-$B$18)&gt;($B$22-1)),(E32="")),0,IF(ISEVEN(E32-$B$18),30000,0))), "Error: Please enter a plan number from 1 to 7.") )))))))))</f>
        <v>7200</v>
      </c>
    </row>
    <row r="33" spans="5:7" x14ac:dyDescent="0.15">
      <c r="E33" s="7">
        <f t="shared" si="0"/>
        <v>85</v>
      </c>
      <c r="F33" s="7">
        <v>25</v>
      </c>
      <c r="G33" s="8">
        <f>IF( $B$9=2, IF(E33="",0,VLOOKUP(E33,'Plan Calculation'!$D$3:$E$74,2)), IF(  $B$9=4, IF(E33="",0,VLOOKUP(E33,'Plan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age.",IF($B$9=1,(IF(OR(($B$18&gt;E33),(E33="")),0,IF(OR(((E33-$B$18)&gt;($B$22-1)),(E33="")),0,VLOOKUP(E33,'Plan Calculation'!$A$3:$B$74,2)))), IF($B$9=3,IF(OR(($B$18&gt;E33),(E33="")),0,VLOOKUP(E33,'Plan Calculation'!$G$3:$H$74,2)),IF($B$9=5,IF(E33="",0,IF(OR((E33-$B$18)&gt;($B$22-1),(E33=""),((E33-$B$18)&lt;(0))),0,IF((E33-$B$18)&lt;((($J$18-$B$18)/2)),VLOOKUP(E33,'Plan Calculation'!$M$3:$O$73,2),VLOOKUP(E33,'Plan Calculation'!$M$3:$O$73,3)))),IF($B$9=6,IF(OR(($B$18&gt;E33),(E33="")),0,IF(OR((E33-$B$18)&gt;($B$22-1),(E33="")),0,IF( (E33=$J$18), 100000-(($B$22-1)*(ROUNDUP('Plan Calculation'!$Q$3/$J$13,2))), ROUNDUP('Plan Calculation'!$Q$3/$J$13,2) ))),  IF( $B$9 = 7, IF( OR(($B$18&gt;E33),(E33="")), 0,  IF( OR(((E33-$B$18)&gt;($B$22-1)),(E33="")),0,IF(ISEVEN(E33-$B$18),30000,0))), "Error: Please enter a plan number from 1 to 7.") )))))))))</f>
        <v>7200</v>
      </c>
    </row>
    <row r="34" spans="5:7" x14ac:dyDescent="0.15">
      <c r="E34" s="7">
        <f t="shared" si="0"/>
        <v>86</v>
      </c>
      <c r="F34" s="7">
        <v>26</v>
      </c>
      <c r="G34" s="8">
        <f>IF( $B$9=2, IF(E34="",0,VLOOKUP(E34,'Plan Calculation'!$D$3:$E$74,2)), IF(  $B$9=4, IF(E34="",0,VLOOKUP(E34,'Plan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age.",IF($B$9=1,(IF(OR(($B$18&gt;E34),(E34="")),0,IF(OR(((E34-$B$18)&gt;($B$22-1)),(E34="")),0,VLOOKUP(E34,'Plan Calculation'!$A$3:$B$74,2)))), IF($B$9=3,IF(OR(($B$18&gt;E34),(E34="")),0,VLOOKUP(E34,'Plan Calculation'!$G$3:$H$74,2)),IF($B$9=5,IF(E34="",0,IF(OR((E34-$B$18)&gt;($B$22-1),(E34=""),((E34-$B$18)&lt;(0))),0,IF((E34-$B$18)&lt;((($J$18-$B$18)/2)),VLOOKUP(E34,'Plan Calculation'!$M$3:$O$73,2),VLOOKUP(E34,'Plan Calculation'!$M$3:$O$73,3)))),IF($B$9=6,IF(OR(($B$18&gt;E34),(E34="")),0,IF(OR((E34-$B$18)&gt;($B$22-1),(E34="")),0,IF( (E34=$J$18), 100000-(($B$22-1)*(ROUNDUP('Plan Calculation'!$Q$3/$J$13,2))), ROUNDUP('Plan Calculation'!$Q$3/$J$13,2) ))),  IF( $B$9 = 7, IF( OR(($B$18&gt;E34),(E34="")), 0,  IF( OR(((E34-$B$18)&gt;($B$22-1)),(E34="")),0,IF(ISEVEN(E34-$B$18),30000,0))), "Error: Please enter a plan number from 1 to 7.") )))))))))</f>
        <v>7200</v>
      </c>
    </row>
    <row r="35" spans="5:7" x14ac:dyDescent="0.15">
      <c r="E35" s="7">
        <f t="shared" si="0"/>
        <v>87</v>
      </c>
      <c r="F35" s="7">
        <v>27</v>
      </c>
      <c r="G35" s="8">
        <f>IF( $B$9=2, IF(E35="",0,VLOOKUP(E35,'Plan Calculation'!$D$3:$E$74,2)), IF(  $B$9=4, IF(E35="",0,VLOOKUP(E35,'Plan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age.",IF($B$9=1,(IF(OR(($B$18&gt;E35),(E35="")),0,IF(OR(((E35-$B$18)&gt;($B$22-1)),(E35="")),0,VLOOKUP(E35,'Plan Calculation'!$A$3:$B$74,2)))), IF($B$9=3,IF(OR(($B$18&gt;E35),(E35="")),0,VLOOKUP(E35,'Plan Calculation'!$G$3:$H$74,2)),IF($B$9=5,IF(E35="",0,IF(OR((E35-$B$18)&gt;($B$22-1),(E35=""),((E35-$B$18)&lt;(0))),0,IF((E35-$B$18)&lt;((($J$18-$B$18)/2)),VLOOKUP(E35,'Plan Calculation'!$M$3:$O$73,2),VLOOKUP(E35,'Plan Calculation'!$M$3:$O$73,3)))),IF($B$9=6,IF(OR(($B$18&gt;E35),(E35="")),0,IF(OR((E35-$B$18)&gt;($B$22-1),(E35="")),0,IF( (E35=$J$18), 100000-(($B$22-1)*(ROUNDUP('Plan Calculation'!$Q$3/$J$13,2))), ROUNDUP('Plan Calculation'!$Q$3/$J$13,2) ))),  IF( $B$9 = 7, IF( OR(($B$18&gt;E35),(E35="")), 0,  IF( OR(((E35-$B$18)&gt;($B$22-1)),(E35="")),0,IF(ISEVEN(E35-$B$18),30000,0))), "Error: Please enter a plan number from 1 to 7.") )))))))))</f>
        <v>7200</v>
      </c>
    </row>
    <row r="36" spans="5:7" x14ac:dyDescent="0.15">
      <c r="E36" s="7">
        <f t="shared" si="0"/>
        <v>88</v>
      </c>
      <c r="F36" s="7">
        <v>28</v>
      </c>
      <c r="G36" s="8">
        <f>IF( $B$9=2, IF(E36="",0,VLOOKUP(E36,'Plan Calculation'!$D$3:$E$74,2)), IF(  $B$9=4, IF(E36="",0,VLOOKUP(E36,'Plan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age.",IF($B$9=1,(IF(OR(($B$18&gt;E36),(E36="")),0,IF(OR(((E36-$B$18)&gt;($B$22-1)),(E36="")),0,VLOOKUP(E36,'Plan Calculation'!$A$3:$B$74,2)))), IF($B$9=3,IF(OR(($B$18&gt;E36),(E36="")),0,VLOOKUP(E36,'Plan Calculation'!$G$3:$H$74,2)),IF($B$9=5,IF(E36="",0,IF(OR((E36-$B$18)&gt;($B$22-1),(E36=""),((E36-$B$18)&lt;(0))),0,IF((E36-$B$18)&lt;((($J$18-$B$18)/2)),VLOOKUP(E36,'Plan Calculation'!$M$3:$O$73,2),VLOOKUP(E36,'Plan Calculation'!$M$3:$O$73,3)))),IF($B$9=6,IF(OR(($B$18&gt;E36),(E36="")),0,IF(OR((E36-$B$18)&gt;($B$22-1),(E36="")),0,IF( (E36=$J$18), 100000-(($B$22-1)*(ROUNDUP('Plan Calculation'!$Q$3/$J$13,2))), ROUNDUP('Plan Calculation'!$Q$3/$J$13,2) ))),  IF( $B$9 = 7, IF( OR(($B$18&gt;E36),(E36="")), 0,  IF( OR(((E36-$B$18)&gt;($B$22-1)),(E36="")),0,IF(ISEVEN(E36-$B$18),30000,0))), "Error: Please enter a plan number from 1 to 7.") )))))))))</f>
        <v>7200</v>
      </c>
    </row>
    <row r="37" spans="5:7" x14ac:dyDescent="0.15">
      <c r="E37" s="7">
        <f t="shared" si="0"/>
        <v>89</v>
      </c>
      <c r="F37" s="7">
        <v>29</v>
      </c>
      <c r="G37" s="8">
        <f>IF( $B$9=2, IF(E37="",0,VLOOKUP(E37,'Plan Calculation'!$D$3:$E$74,2)), IF(  $B$9=4, IF(E37="",0,VLOOKUP(E37,'Plan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age.",IF($B$9=1,(IF(OR(($B$18&gt;E37),(E37="")),0,IF(OR(((E37-$B$18)&gt;($B$22-1)),(E37="")),0,VLOOKUP(E37,'Plan Calculation'!$A$3:$B$74,2)))), IF($B$9=3,IF(OR(($B$18&gt;E37),(E37="")),0,VLOOKUP(E37,'Plan Calculation'!$G$3:$H$74,2)),IF($B$9=5,IF(E37="",0,IF(OR((E37-$B$18)&gt;($B$22-1),(E37=""),((E37-$B$18)&lt;(0))),0,IF((E37-$B$18)&lt;((($J$18-$B$18)/2)),VLOOKUP(E37,'Plan Calculation'!$M$3:$O$73,2),VLOOKUP(E37,'Plan Calculation'!$M$3:$O$73,3)))),IF($B$9=6,IF(OR(($B$18&gt;E37),(E37="")),0,IF(OR((E37-$B$18)&gt;($B$22-1),(E37="")),0,IF( (E37=$J$18), 100000-(($B$22-1)*(ROUNDUP('Plan Calculation'!$Q$3/$J$13,2))), ROUNDUP('Plan Calculation'!$Q$3/$J$13,2) ))),  IF( $B$9 = 7, IF( OR(($B$18&gt;E37),(E37="")), 0,  IF( OR(((E37-$B$18)&gt;($B$22-1)),(E37="")),0,IF(ISEVEN(E37-$B$18),30000,0))), "Error: Please enter a plan number from 1 to 7.") )))))))))</f>
        <v>7200</v>
      </c>
    </row>
    <row r="38" spans="5:7" x14ac:dyDescent="0.15">
      <c r="E38" s="7">
        <f t="shared" si="0"/>
        <v>90</v>
      </c>
      <c r="F38" s="7">
        <v>30</v>
      </c>
      <c r="G38" s="8">
        <f>IF( $B$9=2, IF(E38="",0,VLOOKUP(E38,'Plan Calculation'!$D$3:$E$74,2)), IF(  $B$9=4, IF(E38="",0,VLOOKUP(E38,'Plan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age.",IF($B$9=1,(IF(OR(($B$18&gt;E38),(E38="")),0,IF(OR(((E38-$B$18)&gt;($B$22-1)),(E38="")),0,VLOOKUP(E38,'Plan Calculation'!$A$3:$B$74,2)))), IF($B$9=3,IF(OR(($B$18&gt;E38),(E38="")),0,VLOOKUP(E38,'Plan Calculation'!$G$3:$H$74,2)),IF($B$9=5,IF(E38="",0,IF(OR((E38-$B$18)&gt;($B$22-1),(E38=""),((E38-$B$18)&lt;(0))),0,IF((E38-$B$18)&lt;((($J$18-$B$18)/2)),VLOOKUP(E38,'Plan Calculation'!$M$3:$O$73,2),VLOOKUP(E38,'Plan Calculation'!$M$3:$O$73,3)))),IF($B$9=6,IF(OR(($B$18&gt;E38),(E38="")),0,IF(OR((E38-$B$18)&gt;($B$22-1),(E38="")),0,IF( (E38=$J$18), 100000-(($B$22-1)*(ROUNDUP('Plan Calculation'!$Q$3/$J$13,2))), ROUNDUP('Plan Calculation'!$Q$3/$J$13,2) ))),  IF( $B$9 = 7, IF( OR(($B$18&gt;E38),(E38="")), 0,  IF( OR(((E38-$B$18)&gt;($B$22-1)),(E38="")),0,IF(ISEVEN(E38-$B$18),30000,0))), "Error: Please enter a plan number from 1 to 7.") )))))))))</f>
        <v>7200</v>
      </c>
    </row>
    <row r="39" spans="5:7" x14ac:dyDescent="0.15">
      <c r="E39" s="7">
        <f t="shared" si="0"/>
        <v>91</v>
      </c>
      <c r="F39" s="7">
        <v>31</v>
      </c>
      <c r="G39" s="8">
        <f>IF( $B$9=2, IF(E39="",0,VLOOKUP(E39,'Plan Calculation'!$D$3:$E$74,2)), IF(  $B$9=4, IF(E39="",0,VLOOKUP(E39,'Plan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age.",IF($B$9=1,(IF(OR(($B$18&gt;E39),(E39="")),0,IF(OR(((E39-$B$18)&gt;($B$22-1)),(E39="")),0,VLOOKUP(E39,'Plan Calculation'!$A$3:$B$74,2)))), IF($B$9=3,IF(OR(($B$18&gt;E39),(E39="")),0,VLOOKUP(E39,'Plan Calculation'!$G$3:$H$74,2)),IF($B$9=5,IF(E39="",0,IF(OR((E39-$B$18)&gt;($B$22-1),(E39=""),((E39-$B$18)&lt;(0))),0,IF((E39-$B$18)&lt;((($J$18-$B$18)/2)),VLOOKUP(E39,'Plan Calculation'!$M$3:$O$73,2),VLOOKUP(E39,'Plan Calculation'!$M$3:$O$73,3)))),IF($B$9=6,IF(OR(($B$18&gt;E39),(E39="")),0,IF(OR((E39-$B$18)&gt;($B$22-1),(E39="")),0,IF( (E39=$J$18), 100000-(($B$22-1)*(ROUNDUP('Plan Calculation'!$Q$3/$J$13,2))), ROUNDUP('Plan Calculation'!$Q$3/$J$13,2) ))),  IF( $B$9 = 7, IF( OR(($B$18&gt;E39),(E39="")), 0,  IF( OR(((E39-$B$18)&gt;($B$22-1)),(E39="")),0,IF(ISEVEN(E39-$B$18),30000,0))), "Error: Please enter a plan number from 1 to 7.") )))))))))</f>
        <v>7200</v>
      </c>
    </row>
    <row r="40" spans="5:7" x14ac:dyDescent="0.15">
      <c r="E40" s="7">
        <f t="shared" si="0"/>
        <v>92</v>
      </c>
      <c r="F40" s="7">
        <v>32</v>
      </c>
      <c r="G40" s="8">
        <f>IF( $B$9=2, IF(E40="",0,VLOOKUP(E40,'Plan Calculation'!$D$3:$E$74,2)), IF(  $B$9=4, IF(E40="",0,VLOOKUP(E40,'Plan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age.",IF($B$9=1,(IF(OR(($B$18&gt;E40),(E40="")),0,IF(OR(((E40-$B$18)&gt;($B$22-1)),(E40="")),0,VLOOKUP(E40,'Plan Calculation'!$A$3:$B$74,2)))), IF($B$9=3,IF(OR(($B$18&gt;E40),(E40="")),0,VLOOKUP(E40,'Plan Calculation'!$G$3:$H$74,2)),IF($B$9=5,IF(E40="",0,IF(OR((E40-$B$18)&gt;($B$22-1),(E40=""),((E40-$B$18)&lt;(0))),0,IF((E40-$B$18)&lt;((($J$18-$B$18)/2)),VLOOKUP(E40,'Plan Calculation'!$M$3:$O$73,2),VLOOKUP(E40,'Plan Calculation'!$M$3:$O$73,3)))),IF($B$9=6,IF(OR(($B$18&gt;E40),(E40="")),0,IF(OR((E40-$B$18)&gt;($B$22-1),(E40="")),0,IF( (E40=$J$18), 100000-(($B$22-1)*(ROUNDUP('Plan Calculation'!$Q$3/$J$13,2))), ROUNDUP('Plan Calculation'!$Q$3/$J$13,2) ))),  IF( $B$9 = 7, IF( OR(($B$18&gt;E40),(E40="")), 0,  IF( OR(((E40-$B$18)&gt;($B$22-1)),(E40="")),0,IF(ISEVEN(E40-$B$18),30000,0))), "Error: Please enter a plan number from 1 to 7.") )))))))))</f>
        <v>7200</v>
      </c>
    </row>
    <row r="41" spans="5:7" x14ac:dyDescent="0.15">
      <c r="E41" s="7">
        <f t="shared" si="0"/>
        <v>93</v>
      </c>
      <c r="F41" s="7">
        <v>33</v>
      </c>
      <c r="G41" s="8">
        <f>IF( $B$9=2, IF(E41="",0,VLOOKUP(E41,'Plan Calculation'!$D$3:$E$74,2)), IF(  $B$9=4, IF(E41="",0,VLOOKUP(E41,'Plan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age.",IF($B$9=1,(IF(OR(($B$18&gt;E41),(E41="")),0,IF(OR(((E41-$B$18)&gt;($B$22-1)),(E41="")),0,VLOOKUP(E41,'Plan Calculation'!$A$3:$B$74,2)))), IF($B$9=3,IF(OR(($B$18&gt;E41),(E41="")),0,VLOOKUP(E41,'Plan Calculation'!$G$3:$H$74,2)),IF($B$9=5,IF(E41="",0,IF(OR((E41-$B$18)&gt;($B$22-1),(E41=""),((E41-$B$18)&lt;(0))),0,IF((E41-$B$18)&lt;((($J$18-$B$18)/2)),VLOOKUP(E41,'Plan Calculation'!$M$3:$O$73,2),VLOOKUP(E41,'Plan Calculation'!$M$3:$O$73,3)))),IF($B$9=6,IF(OR(($B$18&gt;E41),(E41="")),0,IF(OR((E41-$B$18)&gt;($B$22-1),(E41="")),0,IF( (E41=$J$18), 100000-(($B$22-1)*(ROUNDUP('Plan Calculation'!$Q$3/$J$13,2))), ROUNDUP('Plan Calculation'!$Q$3/$J$13,2) ))),  IF( $B$9 = 7, IF( OR(($B$18&gt;E41),(E41="")), 0,  IF( OR(((E41-$B$18)&gt;($B$22-1)),(E41="")),0,IF(ISEVEN(E41-$B$18),30000,0))), "Error: Please enter a plan number from 1 to 7.") )))))))))</f>
        <v>7200</v>
      </c>
    </row>
    <row r="42" spans="5:7" x14ac:dyDescent="0.15">
      <c r="E42" s="7">
        <f t="shared" ref="E42:E73" si="1">IF(OR(E41&lt;40,E41&gt;109),"",E41+1)</f>
        <v>94</v>
      </c>
      <c r="F42" s="7">
        <v>34</v>
      </c>
      <c r="G42" s="8">
        <f>IF( $B$9=2, IF(E42="",0,VLOOKUP(E42,'Plan Calculation'!$D$3:$E$74,2)), IF(  $B$9=4, IF(E42="",0,VLOOKUP(E42,'Plan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age.",IF($B$9=1,(IF(OR(($B$18&gt;E42),(E42="")),0,IF(OR(((E42-$B$18)&gt;($B$22-1)),(E42="")),0,VLOOKUP(E42,'Plan Calculation'!$A$3:$B$74,2)))), IF($B$9=3,IF(OR(($B$18&gt;E42),(E42="")),0,VLOOKUP(E42,'Plan Calculation'!$G$3:$H$74,2)),IF($B$9=5,IF(E42="",0,IF(OR((E42-$B$18)&gt;($B$22-1),(E42=""),((E42-$B$18)&lt;(0))),0,IF((E42-$B$18)&lt;((($J$18-$B$18)/2)),VLOOKUP(E42,'Plan Calculation'!$M$3:$O$73,2),VLOOKUP(E42,'Plan Calculation'!$M$3:$O$73,3)))),IF($B$9=6,IF(OR(($B$18&gt;E42),(E42="")),0,IF(OR((E42-$B$18)&gt;($B$22-1),(E42="")),0,IF( (E42=$J$18), 100000-(($B$22-1)*(ROUNDUP('Plan Calculation'!$Q$3/$J$13,2))), ROUNDUP('Plan Calculation'!$Q$3/$J$13,2) ))),  IF( $B$9 = 7, IF( OR(($B$18&gt;E42),(E42="")), 0,  IF( OR(((E42-$B$18)&gt;($B$22-1)),(E42="")),0,IF(ISEVEN(E42-$B$18),30000,0))), "Error: Please enter a plan number from 1 to 7.") )))))))))</f>
        <v>7200</v>
      </c>
    </row>
    <row r="43" spans="5:7" x14ac:dyDescent="0.15">
      <c r="E43" s="7">
        <f t="shared" si="1"/>
        <v>95</v>
      </c>
      <c r="F43" s="7">
        <v>35</v>
      </c>
      <c r="G43" s="8">
        <f>IF( $B$9=2, IF(E43="",0,VLOOKUP(E43,'Plan Calculation'!$D$3:$E$74,2)), IF(  $B$9=4, IF(E43="",0,VLOOKUP(E43,'Plan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age.",IF($B$9=1,(IF(OR(($B$18&gt;E43),(E43="")),0,IF(OR(((E43-$B$18)&gt;($B$22-1)),(E43="")),0,VLOOKUP(E43,'Plan Calculation'!$A$3:$B$74,2)))), IF($B$9=3,IF(OR(($B$18&gt;E43),(E43="")),0,VLOOKUP(E43,'Plan Calculation'!$G$3:$H$74,2)),IF($B$9=5,IF(E43="",0,IF(OR((E43-$B$18)&gt;($B$22-1),(E43=""),((E43-$B$18)&lt;(0))),0,IF((E43-$B$18)&lt;((($J$18-$B$18)/2)),VLOOKUP(E43,'Plan Calculation'!$M$3:$O$73,2),VLOOKUP(E43,'Plan Calculation'!$M$3:$O$73,3)))),IF($B$9=6,IF(OR(($B$18&gt;E43),(E43="")),0,IF(OR((E43-$B$18)&gt;($B$22-1),(E43="")),0,IF( (E43=$J$18), 100000-(($B$22-1)*(ROUNDUP('Plan Calculation'!$Q$3/$J$13,2))), ROUNDUP('Plan Calculation'!$Q$3/$J$13,2) ))),  IF( $B$9 = 7, IF( OR(($B$18&gt;E43),(E43="")), 0,  IF( OR(((E43-$B$18)&gt;($B$22-1)),(E43="")),0,IF(ISEVEN(E43-$B$18),30000,0))), "Error: Please enter a plan number from 1 to 7.") )))))))))</f>
        <v>7200</v>
      </c>
    </row>
    <row r="44" spans="5:7" x14ac:dyDescent="0.15">
      <c r="E44" s="7">
        <f t="shared" si="1"/>
        <v>96</v>
      </c>
      <c r="F44" s="7">
        <v>36</v>
      </c>
      <c r="G44" s="8">
        <f>IF( $B$9=2, IF(E44="",0,VLOOKUP(E44,'Plan Calculation'!$D$3:$E$74,2)), IF(  $B$9=4, IF(E44="",0,VLOOKUP(E44,'Plan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age.",IF($B$9=1,(IF(OR(($B$18&gt;E44),(E44="")),0,IF(OR(((E44-$B$18)&gt;($B$22-1)),(E44="")),0,VLOOKUP(E44,'Plan Calculation'!$A$3:$B$74,2)))), IF($B$9=3,IF(OR(($B$18&gt;E44),(E44="")),0,VLOOKUP(E44,'Plan Calculation'!$G$3:$H$74,2)),IF($B$9=5,IF(E44="",0,IF(OR((E44-$B$18)&gt;($B$22-1),(E44=""),((E44-$B$18)&lt;(0))),0,IF((E44-$B$18)&lt;((($J$18-$B$18)/2)),VLOOKUP(E44,'Plan Calculation'!$M$3:$O$73,2),VLOOKUP(E44,'Plan Calculation'!$M$3:$O$73,3)))),IF($B$9=6,IF(OR(($B$18&gt;E44),(E44="")),0,IF(OR((E44-$B$18)&gt;($B$22-1),(E44="")),0,IF( (E44=$J$18), 100000-(($B$22-1)*(ROUNDUP('Plan Calculation'!$Q$3/$J$13,2))), ROUNDUP('Plan Calculation'!$Q$3/$J$13,2) ))),  IF( $B$9 = 7, IF( OR(($B$18&gt;E44),(E44="")), 0,  IF( OR(((E44-$B$18)&gt;($B$22-1)),(E44="")),0,IF(ISEVEN(E44-$B$18),30000,0))), "Error: Please enter a plan number from 1 to 7.") )))))))))</f>
        <v>7200</v>
      </c>
    </row>
    <row r="45" spans="5:7" x14ac:dyDescent="0.15">
      <c r="E45" s="7">
        <f t="shared" si="1"/>
        <v>97</v>
      </c>
      <c r="F45" s="7">
        <v>37</v>
      </c>
      <c r="G45" s="8">
        <f>IF( $B$9=2, IF(E45="",0,VLOOKUP(E45,'Plan Calculation'!$D$3:$E$74,2)), IF(  $B$9=4, IF(E45="",0,VLOOKUP(E45,'Plan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age.",IF($B$9=1,(IF(OR(($B$18&gt;E45),(E45="")),0,IF(OR(((E45-$B$18)&gt;($B$22-1)),(E45="")),0,VLOOKUP(E45,'Plan Calculation'!$A$3:$B$74,2)))), IF($B$9=3,IF(OR(($B$18&gt;E45),(E45="")),0,VLOOKUP(E45,'Plan Calculation'!$G$3:$H$74,2)),IF($B$9=5,IF(E45="",0,IF(OR((E45-$B$18)&gt;($B$22-1),(E45=""),((E45-$B$18)&lt;(0))),0,IF((E45-$B$18)&lt;((($J$18-$B$18)/2)),VLOOKUP(E45,'Plan Calculation'!$M$3:$O$73,2),VLOOKUP(E45,'Plan Calculation'!$M$3:$O$73,3)))),IF($B$9=6,IF(OR(($B$18&gt;E45),(E45="")),0,IF(OR((E45-$B$18)&gt;($B$22-1),(E45="")),0,IF( (E45=$J$18), 100000-(($B$22-1)*(ROUNDUP('Plan Calculation'!$Q$3/$J$13,2))), ROUNDUP('Plan Calculation'!$Q$3/$J$13,2) ))),  IF( $B$9 = 7, IF( OR(($B$18&gt;E45),(E45="")), 0,  IF( OR(((E45-$B$18)&gt;($B$22-1)),(E45="")),0,IF(ISEVEN(E45-$B$18),30000,0))), "Error: Please enter a plan number from 1 to 7.") )))))))))</f>
        <v>7200</v>
      </c>
    </row>
    <row r="46" spans="5:7" x14ac:dyDescent="0.15">
      <c r="E46" s="7">
        <f t="shared" si="1"/>
        <v>98</v>
      </c>
      <c r="F46" s="7">
        <v>38</v>
      </c>
      <c r="G46" s="8">
        <f>IF( $B$9=2, IF(E46="",0,VLOOKUP(E46,'Plan Calculation'!$D$3:$E$74,2)), IF(  $B$9=4, IF(E46="",0,VLOOKUP(E46,'Plan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age.",IF($B$9=1,(IF(OR(($B$18&gt;E46),(E46="")),0,IF(OR(((E46-$B$18)&gt;($B$22-1)),(E46="")),0,VLOOKUP(E46,'Plan Calculation'!$A$3:$B$74,2)))), IF($B$9=3,IF(OR(($B$18&gt;E46),(E46="")),0,VLOOKUP(E46,'Plan Calculation'!$G$3:$H$74,2)),IF($B$9=5,IF(E46="",0,IF(OR((E46-$B$18)&gt;($B$22-1),(E46=""),((E46-$B$18)&lt;(0))),0,IF((E46-$B$18)&lt;((($J$18-$B$18)/2)),VLOOKUP(E46,'Plan Calculation'!$M$3:$O$73,2),VLOOKUP(E46,'Plan Calculation'!$M$3:$O$73,3)))),IF($B$9=6,IF(OR(($B$18&gt;E46),(E46="")),0,IF(OR((E46-$B$18)&gt;($B$22-1),(E46="")),0,IF( (E46=$J$18), 100000-(($B$22-1)*(ROUNDUP('Plan Calculation'!$Q$3/$J$13,2))), ROUNDUP('Plan Calculation'!$Q$3/$J$13,2) ))),  IF( $B$9 = 7, IF( OR(($B$18&gt;E46),(E46="")), 0,  IF( OR(((E46-$B$18)&gt;($B$22-1)),(E46="")),0,IF(ISEVEN(E46-$B$18),30000,0))), "Error: Please enter a plan number from 1 to 7.") )))))))))</f>
        <v>7200</v>
      </c>
    </row>
    <row r="47" spans="5:7" x14ac:dyDescent="0.15">
      <c r="E47" s="7">
        <f t="shared" si="1"/>
        <v>99</v>
      </c>
      <c r="F47" s="7">
        <v>39</v>
      </c>
      <c r="G47" s="8">
        <f>IF( $B$9=2, IF(E47="",0,VLOOKUP(E47,'Plan Calculation'!$D$3:$E$74,2)), IF(  $B$9=4, IF(E47="",0,VLOOKUP(E47,'Plan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age.",IF($B$9=1,(IF(OR(($B$18&gt;E47),(E47="")),0,IF(OR(((E47-$B$18)&gt;($B$22-1)),(E47="")),0,VLOOKUP(E47,'Plan Calculation'!$A$3:$B$74,2)))), IF($B$9=3,IF(OR(($B$18&gt;E47),(E47="")),0,VLOOKUP(E47,'Plan Calculation'!$G$3:$H$74,2)),IF($B$9=5,IF(E47="",0,IF(OR((E47-$B$18)&gt;($B$22-1),(E47=""),((E47-$B$18)&lt;(0))),0,IF((E47-$B$18)&lt;((($J$18-$B$18)/2)),VLOOKUP(E47,'Plan Calculation'!$M$3:$O$73,2),VLOOKUP(E47,'Plan Calculation'!$M$3:$O$73,3)))),IF($B$9=6,IF(OR(($B$18&gt;E47),(E47="")),0,IF(OR((E47-$B$18)&gt;($B$22-1),(E47="")),0,IF( (E47=$J$18), 100000-(($B$22-1)*(ROUNDUP('Plan Calculation'!$Q$3/$J$13,2))), ROUNDUP('Plan Calculation'!$Q$3/$J$13,2) ))),  IF( $B$9 = 7, IF( OR(($B$18&gt;E47),(E47="")), 0,  IF( OR(((E47-$B$18)&gt;($B$22-1)),(E47="")),0,IF(ISEVEN(E47-$B$18),30000,0))), "Error: Please enter a plan number from 1 to 7.") )))))))))</f>
        <v>7200</v>
      </c>
    </row>
    <row r="48" spans="5:7" x14ac:dyDescent="0.15">
      <c r="E48" s="7">
        <f t="shared" si="1"/>
        <v>100</v>
      </c>
      <c r="F48" s="7">
        <v>40</v>
      </c>
      <c r="G48" s="8">
        <f>IF( $B$9=2, IF(E48="",0,VLOOKUP(E48,'Plan Calculation'!$D$3:$E$74,2)), IF(  $B$9=4, IF(E48="",0,VLOOKUP(E48,'Plan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age.",IF($B$9=1,(IF(OR(($B$18&gt;E48),(E48="")),0,IF(OR(((E48-$B$18)&gt;($B$22-1)),(E48="")),0,VLOOKUP(E48,'Plan Calculation'!$A$3:$B$74,2)))), IF($B$9=3,IF(OR(($B$18&gt;E48),(E48="")),0,VLOOKUP(E48,'Plan Calculation'!$G$3:$H$74,2)),IF($B$9=5,IF(E48="",0,IF(OR((E48-$B$18)&gt;($B$22-1),(E48=""),((E48-$B$18)&lt;(0))),0,IF((E48-$B$18)&lt;((($J$18-$B$18)/2)),VLOOKUP(E48,'Plan Calculation'!$M$3:$O$73,2),VLOOKUP(E48,'Plan Calculation'!$M$3:$O$73,3)))),IF($B$9=6,IF(OR(($B$18&gt;E48),(E48="")),0,IF(OR((E48-$B$18)&gt;($B$22-1),(E48="")),0,IF( (E48=$J$18), 100000-(($B$22-1)*(ROUNDUP('Plan Calculation'!$Q$3/$J$13,2))), ROUNDUP('Plan Calculation'!$Q$3/$J$13,2) ))),  IF( $B$9 = 7, IF( OR(($B$18&gt;E48),(E48="")), 0,  IF( OR(((E48-$B$18)&gt;($B$22-1)),(E48="")),0,IF(ISEVEN(E48-$B$18),30000,0))), "Error: Please enter a plan number from 1 to 7.") )))))))))</f>
        <v>7200</v>
      </c>
    </row>
    <row r="49" spans="5:7" x14ac:dyDescent="0.15">
      <c r="E49" s="7">
        <f t="shared" si="1"/>
        <v>101</v>
      </c>
      <c r="F49" s="7">
        <v>41</v>
      </c>
      <c r="G49" s="8">
        <f>IF( $B$9=2, IF(E49="",0,VLOOKUP(E49,'Plan Calculation'!$D$3:$E$74,2)), IF(  $B$9=4, IF(E49="",0,VLOOKUP(E49,'Plan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age.",IF($B$9=1,(IF(OR(($B$18&gt;E49),(E49="")),0,IF(OR(((E49-$B$18)&gt;($B$22-1)),(E49="")),0,VLOOKUP(E49,'Plan Calculation'!$A$3:$B$74,2)))), IF($B$9=3,IF(OR(($B$18&gt;E49),(E49="")),0,VLOOKUP(E49,'Plan Calculation'!$G$3:$H$74,2)),IF($B$9=5,IF(E49="",0,IF(OR((E49-$B$18)&gt;($B$22-1),(E49=""),((E49-$B$18)&lt;(0))),0,IF((E49-$B$18)&lt;((($J$18-$B$18)/2)),VLOOKUP(E49,'Plan Calculation'!$M$3:$O$73,2),VLOOKUP(E49,'Plan Calculation'!$M$3:$O$73,3)))),IF($B$9=6,IF(OR(($B$18&gt;E49),(E49="")),0,IF(OR((E49-$B$18)&gt;($B$22-1),(E49="")),0,IF( (E49=$J$18), 100000-(($B$22-1)*(ROUNDUP('Plan Calculation'!$Q$3/$J$13,2))), ROUNDUP('Plan Calculation'!$Q$3/$J$13,2) ))),  IF( $B$9 = 7, IF( OR(($B$18&gt;E49),(E49="")), 0,  IF( OR(((E49-$B$18)&gt;($B$22-1)),(E49="")),0,IF(ISEVEN(E49-$B$18),30000,0))), "Error: Please enter a plan number from 1 to 7.") )))))))))</f>
        <v>7200</v>
      </c>
    </row>
    <row r="50" spans="5:7" x14ac:dyDescent="0.15">
      <c r="E50" s="7">
        <f t="shared" si="1"/>
        <v>102</v>
      </c>
      <c r="F50" s="7">
        <v>42</v>
      </c>
      <c r="G50" s="8">
        <f>IF( $B$9=2, IF(E50="",0,VLOOKUP(E50,'Plan Calculation'!$D$3:$E$74,2)), IF(  $B$9=4, IF(E50="",0,VLOOKUP(E50,'Plan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age.",IF($B$9=1,(IF(OR(($B$18&gt;E50),(E50="")),0,IF(OR(((E50-$B$18)&gt;($B$22-1)),(E50="")),0,VLOOKUP(E50,'Plan Calculation'!$A$3:$B$74,2)))), IF($B$9=3,IF(OR(($B$18&gt;E50),(E50="")),0,VLOOKUP(E50,'Plan Calculation'!$G$3:$H$74,2)),IF($B$9=5,IF(E50="",0,IF(OR((E50-$B$18)&gt;($B$22-1),(E50=""),((E50-$B$18)&lt;(0))),0,IF((E50-$B$18)&lt;((($J$18-$B$18)/2)),VLOOKUP(E50,'Plan Calculation'!$M$3:$O$73,2),VLOOKUP(E50,'Plan Calculation'!$M$3:$O$73,3)))),IF($B$9=6,IF(OR(($B$18&gt;E50),(E50="")),0,IF(OR((E50-$B$18)&gt;($B$22-1),(E50="")),0,IF( (E50=$J$18), 100000-(($B$22-1)*(ROUNDUP('Plan Calculation'!$Q$3/$J$13,2))), ROUNDUP('Plan Calculation'!$Q$3/$J$13,2) ))),  IF( $B$9 = 7, IF( OR(($B$18&gt;E50),(E50="")), 0,  IF( OR(((E50-$B$18)&gt;($B$22-1)),(E50="")),0,IF(ISEVEN(E50-$B$18),30000,0))), "Error: Please enter a plan number from 1 to 7.") )))))))))</f>
        <v>7200</v>
      </c>
    </row>
    <row r="51" spans="5:7" x14ac:dyDescent="0.15">
      <c r="E51" s="7">
        <f t="shared" si="1"/>
        <v>103</v>
      </c>
      <c r="F51" s="7">
        <v>43</v>
      </c>
      <c r="G51" s="8">
        <f>IF( $B$9=2, IF(E51="",0,VLOOKUP(E51,'Plan Calculation'!$D$3:$E$74,2)), IF(  $B$9=4, IF(E51="",0,VLOOKUP(E51,'Plan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age.",IF($B$9=1,(IF(OR(($B$18&gt;E51),(E51="")),0,IF(OR(((E51-$B$18)&gt;($B$22-1)),(E51="")),0,VLOOKUP(E51,'Plan Calculation'!$A$3:$B$74,2)))), IF($B$9=3,IF(OR(($B$18&gt;E51),(E51="")),0,VLOOKUP(E51,'Plan Calculation'!$G$3:$H$74,2)),IF($B$9=5,IF(E51="",0,IF(OR((E51-$B$18)&gt;($B$22-1),(E51=""),((E51-$B$18)&lt;(0))),0,IF((E51-$B$18)&lt;((($J$18-$B$18)/2)),VLOOKUP(E51,'Plan Calculation'!$M$3:$O$73,2),VLOOKUP(E51,'Plan Calculation'!$M$3:$O$73,3)))),IF($B$9=6,IF(OR(($B$18&gt;E51),(E51="")),0,IF(OR((E51-$B$18)&gt;($B$22-1),(E51="")),0,IF( (E51=$J$18), 100000-(($B$22-1)*(ROUNDUP('Plan Calculation'!$Q$3/$J$13,2))), ROUNDUP('Plan Calculation'!$Q$3/$J$13,2) ))),  IF( $B$9 = 7, IF( OR(($B$18&gt;E51),(E51="")), 0,  IF( OR(((E51-$B$18)&gt;($B$22-1)),(E51="")),0,IF(ISEVEN(E51-$B$18),30000,0))), "Error: Please enter a plan number from 1 to 7.") )))))))))</f>
        <v>7200</v>
      </c>
    </row>
    <row r="52" spans="5:7" x14ac:dyDescent="0.15">
      <c r="E52" s="7">
        <f t="shared" si="1"/>
        <v>104</v>
      </c>
      <c r="F52" s="7">
        <v>44</v>
      </c>
      <c r="G52" s="8">
        <f>IF( $B$9=2, IF(E52="",0,VLOOKUP(E52,'Plan Calculation'!$D$3:$E$74,2)), IF(  $B$9=4, IF(E52="",0,VLOOKUP(E52,'Plan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age.",IF($B$9=1,(IF(OR(($B$18&gt;E52),(E52="")),0,IF(OR(((E52-$B$18)&gt;($B$22-1)),(E52="")),0,VLOOKUP(E52,'Plan Calculation'!$A$3:$B$74,2)))), IF($B$9=3,IF(OR(($B$18&gt;E52),(E52="")),0,VLOOKUP(E52,'Plan Calculation'!$G$3:$H$74,2)),IF($B$9=5,IF(E52="",0,IF(OR((E52-$B$18)&gt;($B$22-1),(E52=""),((E52-$B$18)&lt;(0))),0,IF((E52-$B$18)&lt;((($J$18-$B$18)/2)),VLOOKUP(E52,'Plan Calculation'!$M$3:$O$73,2),VLOOKUP(E52,'Plan Calculation'!$M$3:$O$73,3)))),IF($B$9=6,IF(OR(($B$18&gt;E52),(E52="")),0,IF(OR((E52-$B$18)&gt;($B$22-1),(E52="")),0,IF( (E52=$J$18), 100000-(($B$22-1)*(ROUNDUP('Plan Calculation'!$Q$3/$J$13,2))), ROUNDUP('Plan Calculation'!$Q$3/$J$13,2) ))),  IF( $B$9 = 7, IF( OR(($B$18&gt;E52),(E52="")), 0,  IF( OR(((E52-$B$18)&gt;($B$22-1)),(E52="")),0,IF(ISEVEN(E52-$B$18),30000,0))), "Error: Please enter a plan number from 1 to 7.") )))))))))</f>
        <v>7200</v>
      </c>
    </row>
    <row r="53" spans="5:7" x14ac:dyDescent="0.15">
      <c r="E53" s="7">
        <f t="shared" si="1"/>
        <v>105</v>
      </c>
      <c r="F53" s="7">
        <v>45</v>
      </c>
      <c r="G53" s="8">
        <f>IF( $B$9=2, IF(E53="",0,VLOOKUP(E53,'Plan Calculation'!$D$3:$E$74,2)), IF(  $B$9=4, IF(E53="",0,VLOOKUP(E53,'Plan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age.",IF($B$9=1,(IF(OR(($B$18&gt;E53),(E53="")),0,IF(OR(((E53-$B$18)&gt;($B$22-1)),(E53="")),0,VLOOKUP(E53,'Plan Calculation'!$A$3:$B$74,2)))), IF($B$9=3,IF(OR(($B$18&gt;E53),(E53="")),0,VLOOKUP(E53,'Plan Calculation'!$G$3:$H$74,2)),IF($B$9=5,IF(E53="",0,IF(OR((E53-$B$18)&gt;($B$22-1),(E53=""),((E53-$B$18)&lt;(0))),0,IF((E53-$B$18)&lt;((($J$18-$B$18)/2)),VLOOKUP(E53,'Plan Calculation'!$M$3:$O$73,2),VLOOKUP(E53,'Plan Calculation'!$M$3:$O$73,3)))),IF($B$9=6,IF(OR(($B$18&gt;E53),(E53="")),0,IF(OR((E53-$B$18)&gt;($B$22-1),(E53="")),0,IF( (E53=$J$18), 100000-(($B$22-1)*(ROUNDUP('Plan Calculation'!$Q$3/$J$13,2))), ROUNDUP('Plan Calculation'!$Q$3/$J$13,2) ))),  IF( $B$9 = 7, IF( OR(($B$18&gt;E53),(E53="")), 0,  IF( OR(((E53-$B$18)&gt;($B$22-1)),(E53="")),0,IF(ISEVEN(E53-$B$18),30000,0))), "Error: Please enter a plan number from 1 to 7.") )))))))))</f>
        <v>7200</v>
      </c>
    </row>
    <row r="54" spans="5:7" x14ac:dyDescent="0.15">
      <c r="E54" s="7">
        <f t="shared" si="1"/>
        <v>106</v>
      </c>
      <c r="F54" s="7">
        <v>46</v>
      </c>
      <c r="G54" s="8">
        <f>IF( $B$9=2, IF(E54="",0,VLOOKUP(E54,'Plan Calculation'!$D$3:$E$74,2)), IF(  $B$9=4, IF(E54="",0,VLOOKUP(E54,'Plan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age.",IF($B$9=1,(IF(OR(($B$18&gt;E54),(E54="")),0,IF(OR(((E54-$B$18)&gt;($B$22-1)),(E54="")),0,VLOOKUP(E54,'Plan Calculation'!$A$3:$B$74,2)))), IF($B$9=3,IF(OR(($B$18&gt;E54),(E54="")),0,VLOOKUP(E54,'Plan Calculation'!$G$3:$H$74,2)),IF($B$9=5,IF(E54="",0,IF(OR((E54-$B$18)&gt;($B$22-1),(E54=""),((E54-$B$18)&lt;(0))),0,IF((E54-$B$18)&lt;((($J$18-$B$18)/2)),VLOOKUP(E54,'Plan Calculation'!$M$3:$O$73,2),VLOOKUP(E54,'Plan Calculation'!$M$3:$O$73,3)))),IF($B$9=6,IF(OR(($B$18&gt;E54),(E54="")),0,IF(OR((E54-$B$18)&gt;($B$22-1),(E54="")),0,IF( (E54=$J$18), 100000-(($B$22-1)*(ROUNDUP('Plan Calculation'!$Q$3/$J$13,2))), ROUNDUP('Plan Calculation'!$Q$3/$J$13,2) ))),  IF( $B$9 = 7, IF( OR(($B$18&gt;E54),(E54="")), 0,  IF( OR(((E54-$B$18)&gt;($B$22-1)),(E54="")),0,IF(ISEVEN(E54-$B$18),30000,0))), "Error: Please enter a plan number from 1 to 7.") )))))))))</f>
        <v>7200</v>
      </c>
    </row>
    <row r="55" spans="5:7" x14ac:dyDescent="0.15">
      <c r="E55" s="7">
        <f t="shared" si="1"/>
        <v>107</v>
      </c>
      <c r="F55" s="7">
        <v>47</v>
      </c>
      <c r="G55" s="8">
        <f>IF( $B$9=2, IF(E55="",0,VLOOKUP(E55,'Plan Calculation'!$D$3:$E$74,2)), IF(  $B$9=4, IF(E55="",0,VLOOKUP(E55,'Plan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age.",IF($B$9=1,(IF(OR(($B$18&gt;E55),(E55="")),0,IF(OR(((E55-$B$18)&gt;($B$22-1)),(E55="")),0,VLOOKUP(E55,'Plan Calculation'!$A$3:$B$74,2)))), IF($B$9=3,IF(OR(($B$18&gt;E55),(E55="")),0,VLOOKUP(E55,'Plan Calculation'!$G$3:$H$74,2)),IF($B$9=5,IF(E55="",0,IF(OR((E55-$B$18)&gt;($B$22-1),(E55=""),((E55-$B$18)&lt;(0))),0,IF((E55-$B$18)&lt;((($J$18-$B$18)/2)),VLOOKUP(E55,'Plan Calculation'!$M$3:$O$73,2),VLOOKUP(E55,'Plan Calculation'!$M$3:$O$73,3)))),IF($B$9=6,IF(OR(($B$18&gt;E55),(E55="")),0,IF(OR((E55-$B$18)&gt;($B$22-1),(E55="")),0,IF( (E55=$J$18), 100000-(($B$22-1)*(ROUNDUP('Plan Calculation'!$Q$3/$J$13,2))), ROUNDUP('Plan Calculation'!$Q$3/$J$13,2) ))),  IF( $B$9 = 7, IF( OR(($B$18&gt;E55),(E55="")), 0,  IF( OR(((E55-$B$18)&gt;($B$22-1)),(E55="")),0,IF(ISEVEN(E55-$B$18),30000,0))), "Error: Please enter a plan number from 1 to 7.") )))))))))</f>
        <v>7200</v>
      </c>
    </row>
    <row r="56" spans="5:7" x14ac:dyDescent="0.15">
      <c r="E56" s="7">
        <f t="shared" si="1"/>
        <v>108</v>
      </c>
      <c r="F56" s="7">
        <v>48</v>
      </c>
      <c r="G56" s="8">
        <f>IF( $B$9=2, IF(E56="",0,VLOOKUP(E56,'Plan Calculation'!$D$3:$E$74,2)), IF(  $B$9=4, IF(E56="",0,VLOOKUP(E56,'Plan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age.",IF($B$9=1,(IF(OR(($B$18&gt;E56),(E56="")),0,IF(OR(((E56-$B$18)&gt;($B$22-1)),(E56="")),0,VLOOKUP(E56,'Plan Calculation'!$A$3:$B$74,2)))), IF($B$9=3,IF(OR(($B$18&gt;E56),(E56="")),0,VLOOKUP(E56,'Plan Calculation'!$G$3:$H$74,2)),IF($B$9=5,IF(E56="",0,IF(OR((E56-$B$18)&gt;($B$22-1),(E56=""),((E56-$B$18)&lt;(0))),0,IF((E56-$B$18)&lt;((($J$18-$B$18)/2)),VLOOKUP(E56,'Plan Calculation'!$M$3:$O$73,2),VLOOKUP(E56,'Plan Calculation'!$M$3:$O$73,3)))),IF($B$9=6,IF(OR(($B$18&gt;E56),(E56="")),0,IF(OR((E56-$B$18)&gt;($B$22-1),(E56="")),0,IF( (E56=$J$18), 100000-(($B$22-1)*(ROUNDUP('Plan Calculation'!$Q$3/$J$13,2))), ROUNDUP('Plan Calculation'!$Q$3/$J$13,2) ))),  IF( $B$9 = 7, IF( OR(($B$18&gt;E56),(E56="")), 0,  IF( OR(((E56-$B$18)&gt;($B$22-1)),(E56="")),0,IF(ISEVEN(E56-$B$18),30000,0))), "Error: Please enter a plan number from 1 to 7.") )))))))))</f>
        <v>7200</v>
      </c>
    </row>
    <row r="57" spans="5:7" x14ac:dyDescent="0.15">
      <c r="E57" s="7">
        <f t="shared" si="1"/>
        <v>109</v>
      </c>
      <c r="F57" s="7">
        <v>49</v>
      </c>
      <c r="G57" s="8">
        <f>IF( $B$9=2, IF(E57="",0,VLOOKUP(E57,'Plan Calculation'!$D$3:$E$74,2)), IF(  $B$9=4, IF(E57="",0,VLOOKUP(E57,'Plan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age.",IF($B$9=1,(IF(OR(($B$18&gt;E57),(E57="")),0,IF(OR(((E57-$B$18)&gt;($B$22-1)),(E57="")),0,VLOOKUP(E57,'Plan Calculation'!$A$3:$B$74,2)))), IF($B$9=3,IF(OR(($B$18&gt;E57),(E57="")),0,VLOOKUP(E57,'Plan Calculation'!$G$3:$H$74,2)),IF($B$9=5,IF(E57="",0,IF(OR((E57-$B$18)&gt;($B$22-1),(E57=""),((E57-$B$18)&lt;(0))),0,IF((E57-$B$18)&lt;((($J$18-$B$18)/2)),VLOOKUP(E57,'Plan Calculation'!$M$3:$O$73,2),VLOOKUP(E57,'Plan Calculation'!$M$3:$O$73,3)))),IF($B$9=6,IF(OR(($B$18&gt;E57),(E57="")),0,IF(OR((E57-$B$18)&gt;($B$22-1),(E57="")),0,IF( (E57=$J$18), 100000-(($B$22-1)*(ROUNDUP('Plan Calculation'!$Q$3/$J$13,2))), ROUNDUP('Plan Calculation'!$Q$3/$J$13,2) ))),  IF( $B$9 = 7, IF( OR(($B$18&gt;E57),(E57="")), 0,  IF( OR(((E57-$B$18)&gt;($B$22-1)),(E57="")),0,IF(ISEVEN(E57-$B$18),30000,0))), "Error: Please enter a plan number from 1 to 7.") )))))))))</f>
        <v>7200</v>
      </c>
    </row>
    <row r="58" spans="5:7" x14ac:dyDescent="0.15">
      <c r="E58" s="7">
        <f t="shared" si="1"/>
        <v>110</v>
      </c>
      <c r="F58" s="7">
        <v>50</v>
      </c>
      <c r="G58" s="8">
        <f>IF( $B$9=2, IF(E58="",0,VLOOKUP(E58,'Plan Calculation'!$D$3:$E$74,2)), IF(  $B$9=4, IF(E58="",0,VLOOKUP(E58,'Plan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age.",IF($B$9=1,(IF(OR(($B$18&gt;E58),(E58="")),0,IF(OR(((E58-$B$18)&gt;($B$22-1)),(E58="")),0,VLOOKUP(E58,'Plan Calculation'!$A$3:$B$74,2)))), IF($B$9=3,IF(OR(($B$18&gt;E58),(E58="")),0,VLOOKUP(E58,'Plan Calculation'!$G$3:$H$74,2)),IF($B$9=5,IF(E58="",0,IF(OR((E58-$B$18)&gt;($B$22-1),(E58=""),((E58-$B$18)&lt;(0))),0,IF((E58-$B$18)&lt;((($J$18-$B$18)/2)),VLOOKUP(E58,'Plan Calculation'!$M$3:$O$73,2),VLOOKUP(E58,'Plan Calculation'!$M$3:$O$73,3)))),IF($B$9=6,IF(OR(($B$18&gt;E58),(E58="")),0,IF(OR((E58-$B$18)&gt;($B$22-1),(E58="")),0,IF( (E58=$J$18), 100000-(($B$22-1)*(ROUNDUP('Plan Calculation'!$Q$3/$J$13,2))), ROUNDUP('Plan Calculation'!$Q$3/$J$13,2) ))),  IF( $B$9 = 7, IF( OR(($B$18&gt;E58),(E58="")), 0,  IF( OR(((E58-$B$18)&gt;($B$22-1)),(E58="")),0,IF(ISEVEN(E58-$B$18),30000,0))), "Error: Please enter a plan number from 1 to 7.") )))))))))</f>
        <v>7200</v>
      </c>
    </row>
    <row r="59" spans="5:7" x14ac:dyDescent="0.15">
      <c r="E59" s="7" t="str">
        <f t="shared" si="1"/>
        <v/>
      </c>
      <c r="F59" s="7">
        <v>51</v>
      </c>
      <c r="G59" s="8">
        <f>IF( $B$9=2, IF(E59="",0,VLOOKUP(E59,'Plan Calculation'!$D$3:$E$74,2)), IF(  $B$9=4, IF(E59="",0,VLOOKUP(E59,'Plan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age.",IF($B$9=1,(IF(OR(($B$18&gt;E59),(E59="")),0,IF(OR(((E59-$B$18)&gt;($B$22-1)),(E59="")),0,VLOOKUP(E59,'Plan Calculation'!$A$3:$B$74,2)))), IF($B$9=3,IF(OR(($B$18&gt;E59),(E59="")),0,VLOOKUP(E59,'Plan Calculation'!$G$3:$H$74,2)),IF($B$9=5,IF(E59="",0,IF(OR((E59-$B$18)&gt;($B$22-1),(E59=""),((E59-$B$18)&lt;(0))),0,IF((E59-$B$18)&lt;((($J$18-$B$18)/2)),VLOOKUP(E59,'Plan Calculation'!$M$3:$O$73,2),VLOOKUP(E59,'Plan Calculation'!$M$3:$O$73,3)))),IF($B$9=6,IF(OR(($B$18&gt;E59),(E59="")),0,IF(OR((E59-$B$18)&gt;($B$22-1),(E59="")),0,IF( (E59=$J$18), 100000-(($B$22-1)*(ROUNDUP('Plan Calculation'!$Q$3/$J$13,2))), ROUNDUP('Plan Calculation'!$Q$3/$J$13,2) ))),  IF( $B$9 = 7, IF( OR(($B$18&gt;E59),(E59="")), 0,  IF( OR(((E59-$B$18)&gt;($B$22-1)),(E59="")),0,IF(ISEVEN(E59-$B$18),30000,0))), "Error: Please enter a plan number from 1 to 7.") )))))))))</f>
        <v>0</v>
      </c>
    </row>
    <row r="60" spans="5:7" x14ac:dyDescent="0.15">
      <c r="E60" s="7" t="str">
        <f t="shared" si="1"/>
        <v/>
      </c>
      <c r="F60" s="7">
        <v>52</v>
      </c>
      <c r="G60" s="8">
        <f>IF( $B$9=2, IF(E60="",0,VLOOKUP(E60,'Plan Calculation'!$D$3:$E$74,2)), IF(  $B$9=4, IF(E60="",0,VLOOKUP(E60,'Plan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age.",IF($B$9=1,(IF(OR(($B$18&gt;E60),(E60="")),0,IF(OR(((E60-$B$18)&gt;($B$22-1)),(E60="")),0,VLOOKUP(E60,'Plan Calculation'!$A$3:$B$74,2)))), IF($B$9=3,IF(OR(($B$18&gt;E60),(E60="")),0,VLOOKUP(E60,'Plan Calculation'!$G$3:$H$74,2)),IF($B$9=5,IF(E60="",0,IF(OR((E60-$B$18)&gt;($B$22-1),(E60=""),((E60-$B$18)&lt;(0))),0,IF((E60-$B$18)&lt;((($J$18-$B$18)/2)),VLOOKUP(E60,'Plan Calculation'!$M$3:$O$73,2),VLOOKUP(E60,'Plan Calculation'!$M$3:$O$73,3)))),IF($B$9=6,IF(OR(($B$18&gt;E60),(E60="")),0,IF(OR((E60-$B$18)&gt;($B$22-1),(E60="")),0,IF( (E60=$J$18), 100000-(($B$22-1)*(ROUNDUP('Plan Calculation'!$Q$3/$J$13,2))), ROUNDUP('Plan Calculation'!$Q$3/$J$13,2) ))),  IF( $B$9 = 7, IF( OR(($B$18&gt;E60),(E60="")), 0,  IF( OR(((E60-$B$18)&gt;($B$22-1)),(E60="")),0,IF(ISEVEN(E60-$B$18),30000,0))), "Error: Please enter a plan number from 1 to 7.") )))))))))</f>
        <v>0</v>
      </c>
    </row>
    <row r="61" spans="5:7" x14ac:dyDescent="0.15">
      <c r="E61" s="7" t="str">
        <f t="shared" si="1"/>
        <v/>
      </c>
      <c r="F61" s="7">
        <v>53</v>
      </c>
      <c r="G61" s="8">
        <f>IF( $B$9=2, IF(E61="",0,VLOOKUP(E61,'Plan Calculation'!$D$3:$E$74,2)), IF(  $B$9=4, IF(E61="",0,VLOOKUP(E61,'Plan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age.",IF($B$9=1,(IF(OR(($B$18&gt;E61),(E61="")),0,IF(OR(((E61-$B$18)&gt;($B$22-1)),(E61="")),0,VLOOKUP(E61,'Plan Calculation'!$A$3:$B$74,2)))), IF($B$9=3,IF(OR(($B$18&gt;E61),(E61="")),0,VLOOKUP(E61,'Plan Calculation'!$G$3:$H$74,2)),IF($B$9=5,IF(E61="",0,IF(OR((E61-$B$18)&gt;($B$22-1),(E61=""),((E61-$B$18)&lt;(0))),0,IF((E61-$B$18)&lt;((($J$18-$B$18)/2)),VLOOKUP(E61,'Plan Calculation'!$M$3:$O$73,2),VLOOKUP(E61,'Plan Calculation'!$M$3:$O$73,3)))),IF($B$9=6,IF(OR(($B$18&gt;E61),(E61="")),0,IF(OR((E61-$B$18)&gt;($B$22-1),(E61="")),0,IF( (E61=$J$18), 100000-(($B$22-1)*(ROUNDUP('Plan Calculation'!$Q$3/$J$13,2))), ROUNDUP('Plan Calculation'!$Q$3/$J$13,2) ))),  IF( $B$9 = 7, IF( OR(($B$18&gt;E61),(E61="")), 0,  IF( OR(((E61-$B$18)&gt;($B$22-1)),(E61="")),0,IF(ISEVEN(E61-$B$18),30000,0))), "Error: Please enter a plan number from 1 to 7.") )))))))))</f>
        <v>0</v>
      </c>
    </row>
    <row r="62" spans="5:7" x14ac:dyDescent="0.15">
      <c r="E62" s="7" t="str">
        <f t="shared" si="1"/>
        <v/>
      </c>
      <c r="F62" s="7">
        <v>54</v>
      </c>
      <c r="G62" s="8">
        <f>IF( $B$9=2, IF(E62="",0,VLOOKUP(E62,'Plan Calculation'!$D$3:$E$74,2)), IF(  $B$9=4, IF(E62="",0,VLOOKUP(E62,'Plan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age.",IF($B$9=1,(IF(OR(($B$18&gt;E62),(E62="")),0,IF(OR(((E62-$B$18)&gt;($B$22-1)),(E62="")),0,VLOOKUP(E62,'Plan Calculation'!$A$3:$B$74,2)))), IF($B$9=3,IF(OR(($B$18&gt;E62),(E62="")),0,VLOOKUP(E62,'Plan Calculation'!$G$3:$H$74,2)),IF($B$9=5,IF(E62="",0,IF(OR((E62-$B$18)&gt;($B$22-1),(E62=""),((E62-$B$18)&lt;(0))),0,IF((E62-$B$18)&lt;((($J$18-$B$18)/2)),VLOOKUP(E62,'Plan Calculation'!$M$3:$O$73,2),VLOOKUP(E62,'Plan Calculation'!$M$3:$O$73,3)))),IF($B$9=6,IF(OR(($B$18&gt;E62),(E62="")),0,IF(OR((E62-$B$18)&gt;($B$22-1),(E62="")),0,IF( (E62=$J$18), 100000-(($B$22-1)*(ROUNDUP('Plan Calculation'!$Q$3/$J$13,2))), ROUNDUP('Plan Calculation'!$Q$3/$J$13,2) ))),  IF( $B$9 = 7, IF( OR(($B$18&gt;E62),(E62="")), 0,  IF( OR(((E62-$B$18)&gt;($B$22-1)),(E62="")),0,IF(ISEVEN(E62-$B$18),30000,0))), "Error: Please enter a plan number from 1 to 7.") )))))))))</f>
        <v>0</v>
      </c>
    </row>
    <row r="63" spans="5:7" x14ac:dyDescent="0.15">
      <c r="E63" s="7" t="str">
        <f t="shared" si="1"/>
        <v/>
      </c>
      <c r="F63" s="7">
        <v>55</v>
      </c>
      <c r="G63" s="8">
        <f>IF( $B$9=2, IF(E63="",0,VLOOKUP(E63,'Plan Calculation'!$D$3:$E$74,2)), IF(  $B$9=4, IF(E63="",0,VLOOKUP(E63,'Plan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age.",IF($B$9=1,(IF(OR(($B$18&gt;E63),(E63="")),0,IF(OR(((E63-$B$18)&gt;($B$22-1)),(E63="")),0,VLOOKUP(E63,'Plan Calculation'!$A$3:$B$74,2)))), IF($B$9=3,IF(OR(($B$18&gt;E63),(E63="")),0,VLOOKUP(E63,'Plan Calculation'!$G$3:$H$74,2)),IF($B$9=5,IF(E63="",0,IF(OR((E63-$B$18)&gt;($B$22-1),(E63=""),((E63-$B$18)&lt;(0))),0,IF((E63-$B$18)&lt;((($J$18-$B$18)/2)),VLOOKUP(E63,'Plan Calculation'!$M$3:$O$73,2),VLOOKUP(E63,'Plan Calculation'!$M$3:$O$73,3)))),IF($B$9=6,IF(OR(($B$18&gt;E63),(E63="")),0,IF(OR((E63-$B$18)&gt;($B$22-1),(E63="")),0,IF( (E63=$J$18), 100000-(($B$22-1)*(ROUNDUP('Plan Calculation'!$Q$3/$J$13,2))), ROUNDUP('Plan Calculation'!$Q$3/$J$13,2) ))),  IF( $B$9 = 7, IF( OR(($B$18&gt;E63),(E63="")), 0,  IF( OR(((E63-$B$18)&gt;($B$22-1)),(E63="")),0,IF(ISEVEN(E63-$B$18),30000,0))), "Error: Please enter a plan number from 1 to 7.") )))))))))</f>
        <v>0</v>
      </c>
    </row>
    <row r="64" spans="5:7" x14ac:dyDescent="0.15">
      <c r="E64" s="7" t="str">
        <f t="shared" si="1"/>
        <v/>
      </c>
      <c r="F64" s="7">
        <v>56</v>
      </c>
      <c r="G64" s="8">
        <f>IF( $B$9=2, IF(E64="",0,VLOOKUP(E64,'Plan Calculation'!$D$3:$E$74,2)), IF(  $B$9=4, IF(E64="",0,VLOOKUP(E64,'Plan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age.",IF($B$9=1,(IF(OR(($B$18&gt;E64),(E64="")),0,IF(OR(((E64-$B$18)&gt;($B$22-1)),(E64="")),0,VLOOKUP(E64,'Plan Calculation'!$A$3:$B$74,2)))), IF($B$9=3,IF(OR(($B$18&gt;E64),(E64="")),0,VLOOKUP(E64,'Plan Calculation'!$G$3:$H$74,2)),IF($B$9=5,IF(E64="",0,IF(OR((E64-$B$18)&gt;($B$22-1),(E64=""),((E64-$B$18)&lt;(0))),0,IF((E64-$B$18)&lt;((($J$18-$B$18)/2)),VLOOKUP(E64,'Plan Calculation'!$M$3:$O$73,2),VLOOKUP(E64,'Plan Calculation'!$M$3:$O$73,3)))),IF($B$9=6,IF(OR(($B$18&gt;E64),(E64="")),0,IF(OR((E64-$B$18)&gt;($B$22-1),(E64="")),0,IF( (E64=$J$18), 100000-(($B$22-1)*(ROUNDUP('Plan Calculation'!$Q$3/$J$13,2))), ROUNDUP('Plan Calculation'!$Q$3/$J$13,2) ))),  IF( $B$9 = 7, IF( OR(($B$18&gt;E64),(E64="")), 0,  IF( OR(((E64-$B$18)&gt;($B$22-1)),(E64="")),0,IF(ISEVEN(E64-$B$18),30000,0))), "Error: Please enter a plan number from 1 to 7.") )))))))))</f>
        <v>0</v>
      </c>
    </row>
    <row r="65" spans="5:7" x14ac:dyDescent="0.15">
      <c r="E65" s="7" t="str">
        <f t="shared" si="1"/>
        <v/>
      </c>
      <c r="F65" s="7">
        <v>57</v>
      </c>
      <c r="G65" s="8">
        <f>IF( $B$9=2, IF(E65="",0,VLOOKUP(E65,'Plan Calculation'!$D$3:$E$74,2)), IF(  $B$9=4, IF(E65="",0,VLOOKUP(E65,'Plan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age.",IF($B$9=1,(IF(OR(($B$18&gt;E65),(E65="")),0,IF(OR(((E65-$B$18)&gt;($B$22-1)),(E65="")),0,VLOOKUP(E65,'Plan Calculation'!$A$3:$B$74,2)))), IF($B$9=3,IF(OR(($B$18&gt;E65),(E65="")),0,VLOOKUP(E65,'Plan Calculation'!$G$3:$H$74,2)),IF($B$9=5,IF(E65="",0,IF(OR((E65-$B$18)&gt;($B$22-1),(E65=""),((E65-$B$18)&lt;(0))),0,IF((E65-$B$18)&lt;((($J$18-$B$18)/2)),VLOOKUP(E65,'Plan Calculation'!$M$3:$O$73,2),VLOOKUP(E65,'Plan Calculation'!$M$3:$O$73,3)))),IF($B$9=6,IF(OR(($B$18&gt;E65),(E65="")),0,IF(OR((E65-$B$18)&gt;($B$22-1),(E65="")),0,IF( (E65=$J$18), 100000-(($B$22-1)*(ROUNDUP('Plan Calculation'!$Q$3/$J$13,2))), ROUNDUP('Plan Calculation'!$Q$3/$J$13,2) ))),  IF( $B$9 = 7, IF( OR(($B$18&gt;E65),(E65="")), 0,  IF( OR(((E65-$B$18)&gt;($B$22-1)),(E65="")),0,IF(ISEVEN(E65-$B$18),30000,0))), "Error: Please enter a plan number from 1 to 7.") )))))))))</f>
        <v>0</v>
      </c>
    </row>
    <row r="66" spans="5:7" x14ac:dyDescent="0.15">
      <c r="E66" s="7" t="str">
        <f t="shared" si="1"/>
        <v/>
      </c>
      <c r="F66" s="7">
        <v>58</v>
      </c>
      <c r="G66" s="8">
        <f>IF( $B$9=2, IF(E66="",0,VLOOKUP(E66,'Plan Calculation'!$D$3:$E$74,2)), IF(  $B$9=4, IF(E66="",0,VLOOKUP(E66,'Plan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age.",IF($B$9=1,(IF(OR(($B$18&gt;E66),(E66="")),0,IF(OR(((E66-$B$18)&gt;($B$22-1)),(E66="")),0,VLOOKUP(E66,'Plan Calculation'!$A$3:$B$74,2)))), IF($B$9=3,IF(OR(($B$18&gt;E66),(E66="")),0,VLOOKUP(E66,'Plan Calculation'!$G$3:$H$74,2)),IF($B$9=5,IF(E66="",0,IF(OR((E66-$B$18)&gt;($B$22-1),(E66=""),((E66-$B$18)&lt;(0))),0,IF((E66-$B$18)&lt;((($J$18-$B$18)/2)),VLOOKUP(E66,'Plan Calculation'!$M$3:$O$73,2),VLOOKUP(E66,'Plan Calculation'!$M$3:$O$73,3)))),IF($B$9=6,IF(OR(($B$18&gt;E66),(E66="")),0,IF(OR((E66-$B$18)&gt;($B$22-1),(E66="")),0,IF( (E66=$J$18), 100000-(($B$22-1)*(ROUNDUP('Plan Calculation'!$Q$3/$J$13,2))), ROUNDUP('Plan Calculation'!$Q$3/$J$13,2) ))),  IF( $B$9 = 7, IF( OR(($B$18&gt;E66),(E66="")), 0,  IF( OR(((E66-$B$18)&gt;($B$22-1)),(E66="")),0,IF(ISEVEN(E66-$B$18),30000,0))), "Error: Please enter a plan number from 1 to 7.") )))))))))</f>
        <v>0</v>
      </c>
    </row>
    <row r="67" spans="5:7" x14ac:dyDescent="0.15">
      <c r="E67" s="7" t="str">
        <f t="shared" si="1"/>
        <v/>
      </c>
      <c r="F67" s="7">
        <v>59</v>
      </c>
      <c r="G67" s="8">
        <f>IF( $B$9=2, IF(E67="",0,VLOOKUP(E67,'Plan Calculation'!$D$3:$E$74,2)), IF(  $B$9=4, IF(E67="",0,VLOOKUP(E67,'Plan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age.",IF($B$9=1,(IF(OR(($B$18&gt;E67),(E67="")),0,IF(OR(((E67-$B$18)&gt;($B$22-1)),(E67="")),0,VLOOKUP(E67,'Plan Calculation'!$A$3:$B$74,2)))), IF($B$9=3,IF(OR(($B$18&gt;E67),(E67="")),0,VLOOKUP(E67,'Plan Calculation'!$G$3:$H$74,2)),IF($B$9=5,IF(E67="",0,IF(OR((E67-$B$18)&gt;($B$22-1),(E67=""),((E67-$B$18)&lt;(0))),0,IF((E67-$B$18)&lt;((($J$18-$B$18)/2)),VLOOKUP(E67,'Plan Calculation'!$M$3:$O$73,2),VLOOKUP(E67,'Plan Calculation'!$M$3:$O$73,3)))),IF($B$9=6,IF(OR(($B$18&gt;E67),(E67="")),0,IF(OR((E67-$B$18)&gt;($B$22-1),(E67="")),0,IF( (E67=$J$18), 100000-(($B$22-1)*(ROUNDUP('Plan Calculation'!$Q$3/$J$13,2))), ROUNDUP('Plan Calculation'!$Q$3/$J$13,2) ))),  IF( $B$9 = 7, IF( OR(($B$18&gt;E67),(E67="")), 0,  IF( OR(((E67-$B$18)&gt;($B$22-1)),(E67="")),0,IF(ISEVEN(E67-$B$18),30000,0))), "Error: Please enter a plan number from 1 to 7.") )))))))))</f>
        <v>0</v>
      </c>
    </row>
    <row r="68" spans="5:7" x14ac:dyDescent="0.15">
      <c r="E68" s="7" t="str">
        <f t="shared" si="1"/>
        <v/>
      </c>
      <c r="F68" s="7">
        <v>60</v>
      </c>
      <c r="G68" s="8">
        <f>IF( $B$9=2, IF(E68="",0,VLOOKUP(E68,'Plan Calculation'!$D$3:$E$74,2)), IF(  $B$9=4, IF(E68="",0,VLOOKUP(E68,'Plan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age.",IF($B$9=1,(IF(OR(($B$18&gt;E68),(E68="")),0,IF(OR(((E68-$B$18)&gt;($B$22-1)),(E68="")),0,VLOOKUP(E68,'Plan Calculation'!$A$3:$B$74,2)))), IF($B$9=3,IF(OR(($B$18&gt;E68),(E68="")),0,VLOOKUP(E68,'Plan Calculation'!$G$3:$H$74,2)),IF($B$9=5,IF(E68="",0,IF(OR((E68-$B$18)&gt;($B$22-1),(E68=""),((E68-$B$18)&lt;(0))),0,IF((E68-$B$18)&lt;((($J$18-$B$18)/2)),VLOOKUP(E68,'Plan Calculation'!$M$3:$O$73,2),VLOOKUP(E68,'Plan Calculation'!$M$3:$O$73,3)))),IF($B$9=6,IF(OR(($B$18&gt;E68),(E68="")),0,IF(OR((E68-$B$18)&gt;($B$22-1),(E68="")),0,IF( (E68=$J$18), 100000-(($B$22-1)*(ROUNDUP('Plan Calculation'!$Q$3/$J$13,2))), ROUNDUP('Plan Calculation'!$Q$3/$J$13,2) ))),  IF( $B$9 = 7, IF( OR(($B$18&gt;E68),(E68="")), 0,  IF( OR(((E68-$B$18)&gt;($B$22-1)),(E68="")),0,IF(ISEVEN(E68-$B$18),30000,0))), "Error: Please enter a plan number from 1 to 7.") )))))))))</f>
        <v>0</v>
      </c>
    </row>
    <row r="69" spans="5:7" x14ac:dyDescent="0.15">
      <c r="E69" s="7" t="str">
        <f t="shared" si="1"/>
        <v/>
      </c>
      <c r="F69" s="7">
        <v>61</v>
      </c>
      <c r="G69" s="8">
        <f>IF( $B$9=2, IF(E69="",0,VLOOKUP(E69,'Plan Calculation'!$D$3:$E$74,2)), IF(  $B$9=4, IF(E69="",0,VLOOKUP(E69,'Plan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age.",IF($B$9=1,(IF(OR(($B$18&gt;E69),(E69="")),0,IF(OR(((E69-$B$18)&gt;($B$22-1)),(E69="")),0,VLOOKUP(E69,'Plan Calculation'!$A$3:$B$74,2)))), IF($B$9=3,IF(OR(($B$18&gt;E69),(E69="")),0,VLOOKUP(E69,'Plan Calculation'!$G$3:$H$74,2)),IF($B$9=5,IF(E69="",0,IF(OR((E69-$B$18)&gt;($B$22-1),(E69=""),((E69-$B$18)&lt;(0))),0,IF((E69-$B$18)&lt;((($J$18-$B$18)/2)),VLOOKUP(E69,'Plan Calculation'!$M$3:$O$73,2),VLOOKUP(E69,'Plan Calculation'!$M$3:$O$73,3)))),IF($B$9=6,IF(OR(($B$18&gt;E69),(E69="")),0,IF(OR((E69-$B$18)&gt;($B$22-1),(E69="")),0,IF( (E69=$J$18), 100000-(($B$22-1)*(ROUNDUP('Plan Calculation'!$Q$3/$J$13,2))), ROUNDUP('Plan Calculation'!$Q$3/$J$13,2) ))),  IF( $B$9 = 7, IF( OR(($B$18&gt;E69),(E69="")), 0,  IF( OR(((E69-$B$18)&gt;($B$22-1)),(E69="")),0,IF(ISEVEN(E69-$B$18),30000,0))), "Error: Please enter a plan number from 1 to 7.") )))))))))</f>
        <v>0</v>
      </c>
    </row>
    <row r="70" spans="5:7" x14ac:dyDescent="0.15">
      <c r="E70" s="7" t="str">
        <f t="shared" si="1"/>
        <v/>
      </c>
      <c r="F70" s="7">
        <v>62</v>
      </c>
      <c r="G70" s="8">
        <f>IF( $B$9=2, IF(E70="",0,VLOOKUP(E70,'Plan Calculation'!$D$3:$E$74,2)), IF(  $B$9=4, IF(E70="",0,VLOOKUP(E70,'Plan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age.",IF($B$9=1,(IF(OR(($B$18&gt;E70),(E70="")),0,IF(OR(((E70-$B$18)&gt;($B$22-1)),(E70="")),0,VLOOKUP(E70,'Plan Calculation'!$A$3:$B$74,2)))), IF($B$9=3,IF(OR(($B$18&gt;E70),(E70="")),0,VLOOKUP(E70,'Plan Calculation'!$G$3:$H$74,2)),IF($B$9=5,IF(E70="",0,IF(OR((E70-$B$18)&gt;($B$22-1),(E70=""),((E70-$B$18)&lt;(0))),0,IF((E70-$B$18)&lt;((($J$18-$B$18)/2)),VLOOKUP(E70,'Plan Calculation'!$M$3:$O$73,2),VLOOKUP(E70,'Plan Calculation'!$M$3:$O$73,3)))),IF($B$9=6,IF(OR(($B$18&gt;E70),(E70="")),0,IF(OR((E70-$B$18)&gt;($B$22-1),(E70="")),0,IF( (E70=$J$18), 100000-(($B$22-1)*(ROUNDUP('Plan Calculation'!$Q$3/$J$13,2))), ROUNDUP('Plan Calculation'!$Q$3/$J$13,2) ))),  IF( $B$9 = 7, IF( OR(($B$18&gt;E70),(E70="")), 0,  IF( OR(((E70-$B$18)&gt;($B$22-1)),(E70="")),0,IF(ISEVEN(E70-$B$18),30000,0))), "Error: Please enter a plan number from 1 to 7.") )))))))))</f>
        <v>0</v>
      </c>
    </row>
    <row r="71" spans="5:7" x14ac:dyDescent="0.15">
      <c r="E71" s="7" t="str">
        <f t="shared" si="1"/>
        <v/>
      </c>
      <c r="F71" s="7">
        <v>63</v>
      </c>
      <c r="G71" s="8">
        <f>IF( $B$9=2, IF(E71="",0,VLOOKUP(E71,'Plan Calculation'!$D$3:$E$74,2)), IF(  $B$9=4, IF(E71="",0,VLOOKUP(E71,'Plan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age.",IF($B$9=1,(IF(OR(($B$18&gt;E71),(E71="")),0,IF(OR(((E71-$B$18)&gt;($B$22-1)),(E71="")),0,VLOOKUP(E71,'Plan Calculation'!$A$3:$B$74,2)))), IF($B$9=3,IF(OR(($B$18&gt;E71),(E71="")),0,VLOOKUP(E71,'Plan Calculation'!$G$3:$H$74,2)),IF($B$9=5,IF(E71="",0,IF(OR((E71-$B$18)&gt;($B$22-1),(E71=""),((E71-$B$18)&lt;(0))),0,IF((E71-$B$18)&lt;((($J$18-$B$18)/2)),VLOOKUP(E71,'Plan Calculation'!$M$3:$O$73,2),VLOOKUP(E71,'Plan Calculation'!$M$3:$O$73,3)))),IF($B$9=6,IF(OR(($B$18&gt;E71),(E71="")),0,IF(OR((E71-$B$18)&gt;($B$22-1),(E71="")),0,IF( (E71=$J$18), 100000-(($B$22-1)*(ROUNDUP('Plan Calculation'!$Q$3/$J$13,2))), ROUNDUP('Plan Calculation'!$Q$3/$J$13,2) ))),  IF( $B$9 = 7, IF( OR(($B$18&gt;E71),(E71="")), 0,  IF( OR(((E71-$B$18)&gt;($B$22-1)),(E71="")),0,IF(ISEVEN(E71-$B$18),30000,0))), "Error: Please enter a plan number from 1 to 7.") )))))))))</f>
        <v>0</v>
      </c>
    </row>
    <row r="72" spans="5:7" x14ac:dyDescent="0.15">
      <c r="E72" s="7" t="str">
        <f t="shared" si="1"/>
        <v/>
      </c>
      <c r="F72" s="7">
        <v>64</v>
      </c>
      <c r="G72" s="8">
        <f>IF( $B$9=2, IF(E72="",0,VLOOKUP(E72,'Plan Calculation'!$D$3:$E$74,2)), IF(  $B$9=4, IF(E72="",0,VLOOKUP(E72,'Plan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age.",IF($B$9=1,(IF(OR(($B$18&gt;E72),(E72="")),0,IF(OR(((E72-$B$18)&gt;($B$22-1)),(E72="")),0,VLOOKUP(E72,'Plan Calculation'!$A$3:$B$74,2)))), IF($B$9=3,IF(OR(($B$18&gt;E72),(E72="")),0,VLOOKUP(E72,'Plan Calculation'!$G$3:$H$74,2)),IF($B$9=5,IF(E72="",0,IF(OR((E72-$B$18)&gt;($B$22-1),(E72=""),((E72-$B$18)&lt;(0))),0,IF((E72-$B$18)&lt;((($J$18-$B$18)/2)),VLOOKUP(E72,'Plan Calculation'!$M$3:$O$73,2),VLOOKUP(E72,'Plan Calculation'!$M$3:$O$73,3)))),IF($B$9=6,IF(OR(($B$18&gt;E72),(E72="")),0,IF(OR((E72-$B$18)&gt;($B$22-1),(E72="")),0,IF( (E72=$J$18), 100000-(($B$22-1)*(ROUNDUP('Plan Calculation'!$Q$3/$J$13,2))), ROUNDUP('Plan Calculation'!$Q$3/$J$13,2) ))),  IF( $B$9 = 7, IF( OR(($B$18&gt;E72),(E72="")), 0,  IF( OR(((E72-$B$18)&gt;($B$22-1)),(E72="")),0,IF(ISEVEN(E72-$B$18),30000,0))), "Error: Please enter a plan number from 1 to 7.") )))))))))</f>
        <v>0</v>
      </c>
    </row>
    <row r="73" spans="5:7" x14ac:dyDescent="0.15">
      <c r="E73" s="7" t="str">
        <f t="shared" si="1"/>
        <v/>
      </c>
      <c r="F73" s="7">
        <v>65</v>
      </c>
      <c r="G73" s="8">
        <f>IF( $B$9=2, IF(E73="",0,VLOOKUP(E73,'Plan Calculation'!$D$3:$E$74,2)), IF(  $B$9=4, IF(E73="",0,VLOOKUP(E73,'Plan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age.",IF($B$9=1,(IF(OR(($B$18&gt;E73),(E73="")),0,IF(OR(((E73-$B$18)&gt;($B$22-1)),(E73="")),0,VLOOKUP(E73,'Plan Calculation'!$A$3:$B$74,2)))), IF($B$9=3,IF(OR(($B$18&gt;E73),(E73="")),0,VLOOKUP(E73,'Plan Calculation'!$G$3:$H$74,2)),IF($B$9=5,IF(E73="",0,IF(OR((E73-$B$18)&gt;($B$22-1),(E73=""),((E73-$B$18)&lt;(0))),0,IF((E73-$B$18)&lt;((($J$18-$B$18)/2)),VLOOKUP(E73,'Plan Calculation'!$M$3:$O$73,2),VLOOKUP(E73,'Plan Calculation'!$M$3:$O$73,3)))),IF($B$9=6,IF(OR(($B$18&gt;E73),(E73="")),0,IF(OR((E73-$B$18)&gt;($B$22-1),(E73="")),0,IF( (E73=$J$18), 100000-(($B$22-1)*(ROUNDUP('Plan Calculation'!$Q$3/$J$13,2))), ROUNDUP('Plan Calculation'!$Q$3/$J$13,2) ))),  IF( $B$9 = 7, IF( OR(($B$18&gt;E73),(E73="")), 0,  IF( OR(((E73-$B$18)&gt;($B$22-1)),(E73="")),0,IF(ISEVEN(E73-$B$18),30000,0))), "Error: Please enter a plan number from 1 to 7.") )))))))))</f>
        <v>0</v>
      </c>
    </row>
    <row r="74" spans="5:7" x14ac:dyDescent="0.15">
      <c r="E74" s="7" t="str">
        <f t="shared" ref="E74:E79" si="2">IF(OR(E73&lt;40,E73&gt;109),"",E73+1)</f>
        <v/>
      </c>
      <c r="F74" s="7">
        <v>66</v>
      </c>
      <c r="G74" s="8">
        <f>IF( $B$9=2, IF(E74="",0,VLOOKUP(E74,'Plan Calculation'!$D$3:$E$74,2)), IF(  $B$9=4, IF(E74="",0,VLOOKUP(E74,'Plan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age.",IF($B$9=1,(IF(OR(($B$18&gt;E74),(E74="")),0,IF(OR(((E74-$B$18)&gt;($B$22-1)),(E74="")),0,VLOOKUP(E74,'Plan Calculation'!$A$3:$B$74,2)))), IF($B$9=3,IF(OR(($B$18&gt;E74),(E74="")),0,VLOOKUP(E74,'Plan Calculation'!$G$3:$H$74,2)),IF($B$9=5,IF(E74="",0,IF(OR((E74-$B$18)&gt;($B$22-1),(E74=""),((E74-$B$18)&lt;(0))),0,IF((E74-$B$18)&lt;((($J$18-$B$18)/2)),VLOOKUP(E74,'Plan Calculation'!$M$3:$O$73,2),VLOOKUP(E74,'Plan Calculation'!$M$3:$O$73,3)))),IF($B$9=6,IF(OR(($B$18&gt;E74),(E74="")),0,IF(OR((E74-$B$18)&gt;($B$22-1),(E74="")),0,IF( (E74=$J$18), 100000-(($B$22-1)*(ROUNDUP('Plan Calculation'!$Q$3/$J$13,2))), ROUNDUP('Plan Calculation'!$Q$3/$J$13,2) ))),  IF( $B$9 = 7, IF( OR(($B$18&gt;E74),(E74="")), 0,  IF( OR(((E74-$B$18)&gt;($B$22-1)),(E74="")),0,IF(ISEVEN(E74-$B$18),30000,0))), "Error: Please enter a plan number from 1 to 7.") )))))))))</f>
        <v>0</v>
      </c>
    </row>
    <row r="75" spans="5:7" x14ac:dyDescent="0.15">
      <c r="E75" s="7" t="str">
        <f t="shared" si="2"/>
        <v/>
      </c>
      <c r="F75" s="7">
        <v>67</v>
      </c>
      <c r="G75" s="8">
        <f>IF( $B$9=2, IF(E75="",0,VLOOKUP(E75,'Plan Calculation'!$D$3:$E$74,2)), IF(  $B$9=4, IF(E75="",0,VLOOKUP(E75,'Plan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age.",IF($B$9=1,(IF(OR(($B$18&gt;E75),(E75="")),0,IF(OR(((E75-$B$18)&gt;($B$22-1)),(E75="")),0,VLOOKUP(E75,'Plan Calculation'!$A$3:$B$74,2)))), IF($B$9=3,IF(OR(($B$18&gt;E75),(E75="")),0,VLOOKUP(E75,'Plan Calculation'!$G$3:$H$74,2)),IF($B$9=5,IF(E75="",0,IF(OR((E75-$B$18)&gt;($B$22-1),(E75=""),((E75-$B$18)&lt;(0))),0,IF((E75-$B$18)&lt;((($J$18-$B$18)/2)),VLOOKUP(E75,'Plan Calculation'!$M$3:$O$73,2),VLOOKUP(E75,'Plan Calculation'!$M$3:$O$73,3)))),IF($B$9=6,IF(OR(($B$18&gt;E75),(E75="")),0,IF(OR((E75-$B$18)&gt;($B$22-1),(E75="")),0,IF( (E75=$J$18), 100000-(($B$22-1)*(ROUNDUP('Plan Calculation'!$Q$3/$J$13,2))), ROUNDUP('Plan Calculation'!$Q$3/$J$13,2) ))),  IF( $B$9 = 7, IF( OR(($B$18&gt;E75),(E75="")), 0,  IF( OR(((E75-$B$18)&gt;($B$22-1)),(E75="")),0,IF(ISEVEN(E75-$B$18),30000,0))), "Error: Please enter a plan number from 1 to 7.") )))))))))</f>
        <v>0</v>
      </c>
    </row>
    <row r="76" spans="5:7" x14ac:dyDescent="0.15">
      <c r="E76" s="7" t="str">
        <f t="shared" si="2"/>
        <v/>
      </c>
      <c r="F76" s="7">
        <v>68</v>
      </c>
      <c r="G76" s="8">
        <f>IF( $B$9=2, IF(E76="",0,VLOOKUP(E76,'Plan Calculation'!$D$3:$E$74,2)), IF(  $B$9=4, IF(E76="",0,VLOOKUP(E76,'Plan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age.",IF($B$9=1,(IF(OR(($B$18&gt;E76),(E76="")),0,IF(OR(((E76-$B$18)&gt;($B$22-1)),(E76="")),0,VLOOKUP(E76,'Plan Calculation'!$A$3:$B$74,2)))), IF($B$9=3,IF(OR(($B$18&gt;E76),(E76="")),0,VLOOKUP(E76,'Plan Calculation'!$G$3:$H$74,2)),IF($B$9=5,IF(E76="",0,IF(OR((E76-$B$18)&gt;($B$22-1),(E76=""),((E76-$B$18)&lt;(0))),0,IF((E76-$B$18)&lt;((($J$18-$B$18)/2)),VLOOKUP(E76,'Plan Calculation'!$M$3:$O$73,2),VLOOKUP(E76,'Plan Calculation'!$M$3:$O$73,3)))),IF($B$9=6,IF(OR(($B$18&gt;E76),(E76="")),0,IF(OR((E76-$B$18)&gt;($B$22-1),(E76="")),0,IF( (E76=$J$18), 100000-(($B$22-1)*(ROUNDUP('Plan Calculation'!$Q$3/$J$13,2))), ROUNDUP('Plan Calculation'!$Q$3/$J$13,2) ))),  IF( $B$9 = 7, IF( OR(($B$18&gt;E76),(E76="")), 0,  IF( OR(((E76-$B$18)&gt;($B$22-1)),(E76="")),0,IF(ISEVEN(E76-$B$18),30000,0))), "Error: Please enter a plan number from 1 to 7.") )))))))))</f>
        <v>0</v>
      </c>
    </row>
    <row r="77" spans="5:7" x14ac:dyDescent="0.15">
      <c r="E77" s="7" t="str">
        <f t="shared" si="2"/>
        <v/>
      </c>
      <c r="F77" s="7">
        <v>69</v>
      </c>
      <c r="G77" s="8">
        <f>IF( $B$9=2, IF(E77="",0,VLOOKUP(E77,'Plan Calculation'!$D$3:$E$74,2)), IF(  $B$9=4, IF(E77="",0,VLOOKUP(E77,'Plan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age.",IF($B$9=1,(IF(OR(($B$18&gt;E77),(E77="")),0,IF(OR(((E77-$B$18)&gt;($B$22-1)),(E77="")),0,VLOOKUP(E77,'Plan Calculation'!$A$3:$B$74,2)))), IF($B$9=3,IF(OR(($B$18&gt;E77),(E77="")),0,VLOOKUP(E77,'Plan Calculation'!$G$3:$H$74,2)),IF($B$9=5,IF(E77="",0,IF(OR((E77-$B$18)&gt;($B$22-1),(E77=""),((E77-$B$18)&lt;(0))),0,IF((E77-$B$18)&lt;((($J$18-$B$18)/2)),VLOOKUP(E77,'Plan Calculation'!$M$3:$O$73,2),VLOOKUP(E77,'Plan Calculation'!$M$3:$O$73,3)))),IF($B$9=6,IF(OR(($B$18&gt;E77),(E77="")),0,IF(OR((E77-$B$18)&gt;($B$22-1),(E77="")),0,IF( (E77=$J$18), 100000-(($B$22-1)*(ROUNDUP('Plan Calculation'!$Q$3/$J$13,2))), ROUNDUP('Plan Calculation'!$Q$3/$J$13,2) ))),  IF( $B$9 = 7, IF( OR(($B$18&gt;E77),(E77="")), 0,  IF( OR(((E77-$B$18)&gt;($B$22-1)),(E77="")),0,IF(ISEVEN(E77-$B$18),30000,0))), "Error: Please enter a plan number from 1 to 7.") )))))))))</f>
        <v>0</v>
      </c>
    </row>
    <row r="78" spans="5:7" x14ac:dyDescent="0.15">
      <c r="E78" s="7" t="str">
        <f t="shared" si="2"/>
        <v/>
      </c>
      <c r="F78" s="7">
        <v>70</v>
      </c>
      <c r="G78" s="8">
        <f>IF( $B$9=2, IF(E78="",0,VLOOKUP(E78,'Plan Calculation'!$D$3:$E$74,2)), IF(  $B$9=4, IF(E78="",0,VLOOKUP(E78,'Plan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age.",IF($B$9=1,(IF(OR(($B$18&gt;E78),(E78="")),0,IF(OR(((E78-$B$18)&gt;($B$22-1)),(E78="")),0,VLOOKUP(E78,'Plan Calculation'!$A$3:$B$74,2)))), IF($B$9=3,IF(OR(($B$18&gt;E78),(E78="")),0,VLOOKUP(E78,'Plan Calculation'!$G$3:$H$74,2)),IF($B$9=5,IF(E78="",0,IF(OR((E78-$B$18)&gt;($B$22-1),(E78=""),((E78-$B$18)&lt;(0))),0,IF((E78-$B$18)&lt;((($J$18-$B$18)/2)),VLOOKUP(E78,'Plan Calculation'!$M$3:$O$73,2),VLOOKUP(E78,'Plan Calculation'!$M$3:$O$73,3)))),IF($B$9=6,IF(OR(($B$18&gt;E78),(E78="")),0,IF(OR((E78-$B$18)&gt;($B$22-1),(E78="")),0,IF( (E78=$J$18), 100000-(($B$22-1)*(ROUNDUP('Plan Calculation'!$Q$3/$J$13,2))), ROUNDUP('Plan Calculation'!$Q$3/$J$13,2) ))),  IF( $B$9 = 7, IF( OR(($B$18&gt;E78),(E78="")), 0,  IF( OR(((E78-$B$18)&gt;($B$22-1)),(E78="")),0,IF(ISEVEN(E78-$B$18),30000,0))), "Error: Please enter a plan number from 1 to 7.") )))))))))</f>
        <v>0</v>
      </c>
    </row>
    <row r="79" spans="5:7" x14ac:dyDescent="0.15">
      <c r="E79" s="7" t="str">
        <f t="shared" si="2"/>
        <v/>
      </c>
      <c r="F79" s="7">
        <v>71</v>
      </c>
      <c r="G79" s="8">
        <f>IF( $B$9=2, IF(E79="",0,VLOOKUP(E79,'Plan Calculation'!$D$3:$E$74,2)), IF(  $B$9=4, IF(E79="",0,VLOOKUP(E79,'Plan Calculation'!$J$3:$K$74,2)), IF(OR($B$18&lt;40,$B$18&gt;110),"Error: Please enter age between 40 and 110.",IF( ($B$13 &gt; $B$18), "ERROR: Current age must be earlier than beginning age", IF( $B$18+$B$22 &gt; 111, "Error: Can't give payments past the maximum age.",IF($B$9=1,(IF(OR(($B$18&gt;E79),(E79="")),0,IF(OR(((E79-$B$18)&gt;($B$22-1)),(E79="")),0,VLOOKUP(E79,'Plan Calculation'!$A$3:$B$74,2)))), IF($B$9=3,IF(OR(($B$18&gt;E79),(E79="")),0,VLOOKUP(E79,'Plan Calculation'!$G$3:$H$74,2)),IF($B$9=5,IF(E79="",0,IF(OR((E79-$B$18)&gt;($B$22-1),(E79=""),((E79-$B$18)&lt;(0))),0,IF((E79-$B$18)&lt;((($J$18-$B$18)/2)),VLOOKUP(E79,'Plan Calculation'!$M$3:$O$73,2),VLOOKUP(E79,'Plan Calculation'!$M$3:$O$73,3)))),IF($B$9=6,IF(OR(($B$18&gt;E79),(E79="")),0,IF(OR((E79-$B$18)&gt;($B$22-1),(E79="")),0,IF( (E79=$J$18), 100000-(($B$22-1)*(ROUNDUP('Plan Calculation'!$Q$3/$J$13,2))), ROUNDUP('Plan Calculation'!$Q$3/$J$13,2) ))),  IF( $B$9 = 7, IF( OR(($B$18&gt;E79),(E79="")), 0,  IF( OR(((E79-$B$18)&gt;($B$22-1)),(E79="")),0,IF(ISEVEN(E79-$B$18),30000,0))), "Error: Please enter a plan number from 1 to 7.") )))))))))</f>
        <v>0</v>
      </c>
    </row>
  </sheetData>
  <mergeCells count="2">
    <mergeCell ref="E3:G3"/>
    <mergeCell ref="E4:G4"/>
  </mergeCells>
  <pageMargins left="0.78749999999999998" right="0.78749999999999998" top="1.05277777777778" bottom="1.05277777777778" header="0.78749999999999998" footer="0.78749999999999998"/>
  <pageSetup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E4CC9-EDF0-1642-BB56-5B5B4522A9B7}">
  <sheetPr codeName="Sheet3"/>
  <dimension ref="A1:E101"/>
  <sheetViews>
    <sheetView zoomScale="75" workbookViewId="0">
      <selection activeCell="J14" sqref="J14"/>
    </sheetView>
  </sheetViews>
  <sheetFormatPr baseColWidth="10" defaultColWidth="8.83203125" defaultRowHeight="15" x14ac:dyDescent="0.2"/>
  <cols>
    <col min="1" max="1" width="12" style="14" bestFit="1" customWidth="1"/>
    <col min="2" max="2" width="8.5" style="14" customWidth="1"/>
    <col min="3" max="5" width="20" style="14" customWidth="1"/>
    <col min="6" max="16384" width="8.83203125" style="14"/>
  </cols>
  <sheetData>
    <row r="1" spans="1:5" x14ac:dyDescent="0.2">
      <c r="A1" s="17" t="s">
        <v>121</v>
      </c>
      <c r="B1" s="17" t="s">
        <v>120</v>
      </c>
      <c r="C1" s="17" t="s">
        <v>8</v>
      </c>
      <c r="D1" s="17" t="s">
        <v>119</v>
      </c>
      <c r="E1" s="17" t="s">
        <v>12</v>
      </c>
    </row>
    <row r="2" spans="1:5" x14ac:dyDescent="0.2">
      <c r="A2" s="16" t="s">
        <v>118</v>
      </c>
      <c r="B2" s="16">
        <v>5</v>
      </c>
      <c r="C2" s="16">
        <v>60</v>
      </c>
      <c r="D2" s="16">
        <v>67</v>
      </c>
      <c r="E2" s="16">
        <v>19</v>
      </c>
    </row>
    <row r="3" spans="1:5" x14ac:dyDescent="0.2">
      <c r="A3" s="16" t="s">
        <v>117</v>
      </c>
      <c r="B3" s="16">
        <v>4</v>
      </c>
      <c r="C3" s="16">
        <v>50</v>
      </c>
      <c r="D3" s="16"/>
      <c r="E3" s="16"/>
    </row>
    <row r="4" spans="1:5" x14ac:dyDescent="0.2">
      <c r="A4" s="16" t="s">
        <v>116</v>
      </c>
      <c r="B4" s="16">
        <v>3</v>
      </c>
      <c r="C4" s="16">
        <v>40</v>
      </c>
      <c r="D4" s="16">
        <v>50</v>
      </c>
      <c r="E4" s="16"/>
    </row>
    <row r="5" spans="1:5" x14ac:dyDescent="0.2">
      <c r="A5" s="16" t="s">
        <v>115</v>
      </c>
      <c r="B5" s="16">
        <v>1</v>
      </c>
      <c r="C5" s="16">
        <v>45</v>
      </c>
      <c r="D5" s="16">
        <v>48</v>
      </c>
      <c r="E5" s="16">
        <v>18</v>
      </c>
    </row>
    <row r="6" spans="1:5" x14ac:dyDescent="0.2">
      <c r="A6" s="16" t="s">
        <v>114</v>
      </c>
      <c r="B6" s="16">
        <v>2</v>
      </c>
      <c r="C6" s="16">
        <v>52</v>
      </c>
      <c r="D6" s="15"/>
      <c r="E6" s="15"/>
    </row>
    <row r="7" spans="1:5" x14ac:dyDescent="0.2">
      <c r="A7" s="16" t="s">
        <v>113</v>
      </c>
      <c r="B7" s="16">
        <v>2</v>
      </c>
      <c r="C7" s="16">
        <v>63</v>
      </c>
      <c r="D7" s="15"/>
      <c r="E7" s="15"/>
    </row>
    <row r="8" spans="1:5" x14ac:dyDescent="0.2">
      <c r="A8" s="16" t="s">
        <v>112</v>
      </c>
      <c r="B8" s="16">
        <v>4</v>
      </c>
      <c r="C8" s="16">
        <v>64</v>
      </c>
      <c r="D8" s="15"/>
      <c r="E8" s="15"/>
    </row>
    <row r="9" spans="1:5" x14ac:dyDescent="0.2">
      <c r="A9" s="16" t="s">
        <v>111</v>
      </c>
      <c r="B9" s="16">
        <v>3</v>
      </c>
      <c r="C9" s="16">
        <v>48</v>
      </c>
      <c r="D9" s="15">
        <v>60</v>
      </c>
      <c r="E9" s="15"/>
    </row>
    <row r="10" spans="1:5" x14ac:dyDescent="0.2">
      <c r="A10" s="16" t="s">
        <v>110</v>
      </c>
      <c r="B10" s="16">
        <v>4</v>
      </c>
      <c r="C10" s="16">
        <v>46</v>
      </c>
      <c r="D10" s="15"/>
      <c r="E10" s="15"/>
    </row>
    <row r="11" spans="1:5" x14ac:dyDescent="0.2">
      <c r="A11" s="16" t="s">
        <v>109</v>
      </c>
      <c r="B11" s="16">
        <v>5</v>
      </c>
      <c r="C11" s="16">
        <v>58</v>
      </c>
      <c r="D11" s="15">
        <v>63</v>
      </c>
      <c r="E11" s="15">
        <v>20</v>
      </c>
    </row>
    <row r="12" spans="1:5" x14ac:dyDescent="0.2">
      <c r="A12" s="16" t="s">
        <v>108</v>
      </c>
      <c r="B12" s="16">
        <v>7</v>
      </c>
      <c r="C12" s="16">
        <v>55</v>
      </c>
      <c r="D12" s="15">
        <v>64</v>
      </c>
      <c r="E12" s="15">
        <v>15</v>
      </c>
    </row>
    <row r="13" spans="1:5" x14ac:dyDescent="0.2">
      <c r="A13" s="16" t="s">
        <v>107</v>
      </c>
      <c r="B13" s="16">
        <v>1</v>
      </c>
      <c r="C13" s="16">
        <v>55</v>
      </c>
      <c r="D13" s="15">
        <v>68</v>
      </c>
      <c r="E13" s="15">
        <v>5</v>
      </c>
    </row>
    <row r="14" spans="1:5" x14ac:dyDescent="0.2">
      <c r="A14" s="16" t="s">
        <v>106</v>
      </c>
      <c r="B14" s="16">
        <v>1</v>
      </c>
      <c r="C14" s="16">
        <v>53</v>
      </c>
      <c r="D14" s="15">
        <v>54</v>
      </c>
      <c r="E14" s="15">
        <v>5</v>
      </c>
    </row>
    <row r="15" spans="1:5" x14ac:dyDescent="0.2">
      <c r="A15" s="16" t="s">
        <v>105</v>
      </c>
      <c r="B15" s="16">
        <v>1</v>
      </c>
      <c r="C15" s="16">
        <v>45</v>
      </c>
      <c r="D15" s="15">
        <v>58</v>
      </c>
      <c r="E15" s="15">
        <v>19</v>
      </c>
    </row>
    <row r="16" spans="1:5" x14ac:dyDescent="0.2">
      <c r="A16" s="16" t="s">
        <v>104</v>
      </c>
      <c r="B16" s="16">
        <v>6</v>
      </c>
      <c r="C16" s="16">
        <v>53</v>
      </c>
      <c r="D16" s="15">
        <v>67</v>
      </c>
      <c r="E16" s="15">
        <v>7</v>
      </c>
    </row>
    <row r="17" spans="1:5" x14ac:dyDescent="0.2">
      <c r="A17" s="16" t="s">
        <v>103</v>
      </c>
      <c r="B17" s="16">
        <v>7</v>
      </c>
      <c r="C17" s="16">
        <v>56</v>
      </c>
      <c r="D17" s="15">
        <v>58</v>
      </c>
      <c r="E17" s="15">
        <v>10</v>
      </c>
    </row>
    <row r="18" spans="1:5" x14ac:dyDescent="0.2">
      <c r="A18" s="16" t="s">
        <v>102</v>
      </c>
      <c r="B18" s="16">
        <v>5</v>
      </c>
      <c r="C18" s="16">
        <v>52</v>
      </c>
      <c r="D18" s="15">
        <v>61</v>
      </c>
      <c r="E18" s="15">
        <v>20</v>
      </c>
    </row>
    <row r="19" spans="1:5" x14ac:dyDescent="0.2">
      <c r="A19" s="16" t="s">
        <v>101</v>
      </c>
      <c r="B19" s="16">
        <v>2</v>
      </c>
      <c r="C19" s="16">
        <v>56</v>
      </c>
      <c r="D19" s="15"/>
      <c r="E19" s="15"/>
    </row>
    <row r="20" spans="1:5" x14ac:dyDescent="0.2">
      <c r="A20" s="16" t="s">
        <v>100</v>
      </c>
      <c r="B20" s="16">
        <v>2</v>
      </c>
      <c r="C20" s="16">
        <v>47</v>
      </c>
      <c r="D20" s="15"/>
      <c r="E20" s="15"/>
    </row>
    <row r="21" spans="1:5" x14ac:dyDescent="0.2">
      <c r="A21" s="16" t="s">
        <v>99</v>
      </c>
      <c r="B21" s="16">
        <v>3</v>
      </c>
      <c r="C21" s="16">
        <v>41</v>
      </c>
      <c r="D21" s="15">
        <v>41</v>
      </c>
      <c r="E21" s="15"/>
    </row>
    <row r="22" spans="1:5" x14ac:dyDescent="0.2">
      <c r="A22" s="16" t="s">
        <v>98</v>
      </c>
      <c r="B22" s="16">
        <v>6</v>
      </c>
      <c r="C22" s="16">
        <v>50</v>
      </c>
      <c r="D22" s="15">
        <v>58</v>
      </c>
      <c r="E22" s="15">
        <v>20</v>
      </c>
    </row>
    <row r="23" spans="1:5" x14ac:dyDescent="0.2">
      <c r="A23" s="16" t="s">
        <v>97</v>
      </c>
      <c r="B23" s="16">
        <v>4</v>
      </c>
      <c r="C23" s="16">
        <v>58</v>
      </c>
      <c r="D23" s="15"/>
      <c r="E23" s="15"/>
    </row>
    <row r="24" spans="1:5" x14ac:dyDescent="0.2">
      <c r="A24" s="16" t="s">
        <v>96</v>
      </c>
      <c r="B24" s="16">
        <v>1</v>
      </c>
      <c r="C24" s="16">
        <v>51</v>
      </c>
      <c r="D24" s="15">
        <v>57</v>
      </c>
      <c r="E24" s="15">
        <v>6</v>
      </c>
    </row>
    <row r="25" spans="1:5" x14ac:dyDescent="0.2">
      <c r="A25" s="16" t="s">
        <v>95</v>
      </c>
      <c r="B25" s="16">
        <v>5</v>
      </c>
      <c r="C25" s="16">
        <v>40</v>
      </c>
      <c r="D25" s="15">
        <v>43</v>
      </c>
      <c r="E25" s="15">
        <v>17</v>
      </c>
    </row>
    <row r="26" spans="1:5" x14ac:dyDescent="0.2">
      <c r="A26" s="16" t="s">
        <v>94</v>
      </c>
      <c r="B26" s="16">
        <v>7</v>
      </c>
      <c r="C26" s="16">
        <v>47</v>
      </c>
      <c r="D26" s="15">
        <v>61</v>
      </c>
      <c r="E26" s="15">
        <v>5</v>
      </c>
    </row>
    <row r="27" spans="1:5" x14ac:dyDescent="0.2">
      <c r="A27" s="16" t="s">
        <v>93</v>
      </c>
      <c r="B27" s="16">
        <v>5</v>
      </c>
      <c r="C27" s="16">
        <v>57</v>
      </c>
      <c r="D27" s="15">
        <v>60</v>
      </c>
      <c r="E27" s="15">
        <v>20</v>
      </c>
    </row>
    <row r="28" spans="1:5" x14ac:dyDescent="0.2">
      <c r="A28" s="16" t="s">
        <v>92</v>
      </c>
      <c r="B28" s="16">
        <v>1</v>
      </c>
      <c r="C28" s="16">
        <v>52</v>
      </c>
      <c r="D28" s="15">
        <v>66</v>
      </c>
      <c r="E28" s="15">
        <v>12</v>
      </c>
    </row>
    <row r="29" spans="1:5" x14ac:dyDescent="0.2">
      <c r="A29" s="16" t="s">
        <v>91</v>
      </c>
      <c r="B29" s="16">
        <v>3</v>
      </c>
      <c r="C29" s="16">
        <v>67</v>
      </c>
      <c r="D29" s="15">
        <v>71</v>
      </c>
      <c r="E29" s="15"/>
    </row>
    <row r="30" spans="1:5" x14ac:dyDescent="0.2">
      <c r="A30" s="16" t="s">
        <v>90</v>
      </c>
      <c r="B30" s="16">
        <v>7</v>
      </c>
      <c r="C30" s="16">
        <v>42</v>
      </c>
      <c r="D30" s="15">
        <v>46</v>
      </c>
      <c r="E30" s="15">
        <v>16</v>
      </c>
    </row>
    <row r="31" spans="1:5" x14ac:dyDescent="0.2">
      <c r="A31" s="16" t="s">
        <v>89</v>
      </c>
      <c r="B31" s="16">
        <v>1</v>
      </c>
      <c r="C31" s="16">
        <v>60</v>
      </c>
      <c r="D31" s="15">
        <v>66</v>
      </c>
      <c r="E31" s="15">
        <v>8</v>
      </c>
    </row>
    <row r="32" spans="1:5" x14ac:dyDescent="0.2">
      <c r="A32" s="16" t="s">
        <v>88</v>
      </c>
      <c r="B32" s="16">
        <v>1</v>
      </c>
      <c r="C32" s="16">
        <v>45</v>
      </c>
      <c r="D32" s="15">
        <v>45</v>
      </c>
      <c r="E32" s="15">
        <v>19</v>
      </c>
    </row>
    <row r="33" spans="1:5" x14ac:dyDescent="0.2">
      <c r="A33" s="16" t="s">
        <v>87</v>
      </c>
      <c r="B33" s="16">
        <v>1</v>
      </c>
      <c r="C33" s="16">
        <v>63</v>
      </c>
      <c r="D33" s="15">
        <v>69</v>
      </c>
      <c r="E33" s="15">
        <v>6</v>
      </c>
    </row>
    <row r="34" spans="1:5" x14ac:dyDescent="0.2">
      <c r="A34" s="16" t="s">
        <v>86</v>
      </c>
      <c r="B34" s="16">
        <v>1</v>
      </c>
      <c r="C34" s="16">
        <v>42</v>
      </c>
      <c r="D34" s="15">
        <v>43</v>
      </c>
      <c r="E34" s="15">
        <v>19</v>
      </c>
    </row>
    <row r="35" spans="1:5" x14ac:dyDescent="0.2">
      <c r="A35" s="16" t="s">
        <v>85</v>
      </c>
      <c r="B35" s="16">
        <v>5</v>
      </c>
      <c r="C35" s="16">
        <v>44</v>
      </c>
      <c r="D35" s="15">
        <v>57</v>
      </c>
      <c r="E35" s="15">
        <v>5</v>
      </c>
    </row>
    <row r="36" spans="1:5" x14ac:dyDescent="0.2">
      <c r="A36" s="16" t="s">
        <v>84</v>
      </c>
      <c r="B36" s="16">
        <v>1</v>
      </c>
      <c r="C36" s="16">
        <v>63</v>
      </c>
      <c r="D36" s="15">
        <v>69</v>
      </c>
      <c r="E36" s="15">
        <v>20</v>
      </c>
    </row>
    <row r="37" spans="1:5" x14ac:dyDescent="0.2">
      <c r="A37" s="16" t="s">
        <v>83</v>
      </c>
      <c r="B37" s="16">
        <v>1</v>
      </c>
      <c r="C37" s="16">
        <v>68</v>
      </c>
      <c r="D37" s="15">
        <v>69</v>
      </c>
      <c r="E37" s="15">
        <v>17</v>
      </c>
    </row>
    <row r="38" spans="1:5" x14ac:dyDescent="0.2">
      <c r="A38" s="16" t="s">
        <v>82</v>
      </c>
      <c r="B38" s="16">
        <v>2</v>
      </c>
      <c r="C38" s="16">
        <v>42</v>
      </c>
      <c r="D38" s="15"/>
      <c r="E38" s="15"/>
    </row>
    <row r="39" spans="1:5" x14ac:dyDescent="0.2">
      <c r="A39" s="16" t="s">
        <v>81</v>
      </c>
      <c r="B39" s="16">
        <v>2</v>
      </c>
      <c r="C39" s="16">
        <v>67</v>
      </c>
      <c r="D39" s="15"/>
      <c r="E39" s="15"/>
    </row>
    <row r="40" spans="1:5" x14ac:dyDescent="0.2">
      <c r="A40" s="16" t="s">
        <v>80</v>
      </c>
      <c r="B40" s="16">
        <v>3</v>
      </c>
      <c r="C40" s="16">
        <v>70</v>
      </c>
      <c r="D40" s="15">
        <v>72</v>
      </c>
      <c r="E40" s="15"/>
    </row>
    <row r="41" spans="1:5" x14ac:dyDescent="0.2">
      <c r="A41" s="16" t="s">
        <v>79</v>
      </c>
      <c r="B41" s="16">
        <v>1</v>
      </c>
      <c r="C41" s="16">
        <v>69</v>
      </c>
      <c r="D41" s="15">
        <v>78</v>
      </c>
      <c r="E41" s="15">
        <v>6</v>
      </c>
    </row>
    <row r="42" spans="1:5" x14ac:dyDescent="0.2">
      <c r="A42" s="16" t="s">
        <v>78</v>
      </c>
      <c r="B42" s="16">
        <v>2</v>
      </c>
      <c r="C42" s="16">
        <v>41</v>
      </c>
      <c r="D42" s="15"/>
      <c r="E42" s="15"/>
    </row>
    <row r="43" spans="1:5" x14ac:dyDescent="0.2">
      <c r="A43" s="16" t="s">
        <v>77</v>
      </c>
      <c r="B43" s="16">
        <v>2</v>
      </c>
      <c r="C43" s="16">
        <v>49</v>
      </c>
      <c r="D43" s="15"/>
      <c r="E43" s="15"/>
    </row>
    <row r="44" spans="1:5" x14ac:dyDescent="0.2">
      <c r="A44" s="16" t="s">
        <v>76</v>
      </c>
      <c r="B44" s="16">
        <v>7</v>
      </c>
      <c r="C44" s="16">
        <v>44</v>
      </c>
      <c r="D44" s="15">
        <v>59</v>
      </c>
      <c r="E44" s="15">
        <v>6</v>
      </c>
    </row>
    <row r="45" spans="1:5" x14ac:dyDescent="0.2">
      <c r="A45" s="16" t="s">
        <v>75</v>
      </c>
      <c r="B45" s="16">
        <v>6</v>
      </c>
      <c r="C45" s="16">
        <v>45</v>
      </c>
      <c r="D45" s="15">
        <v>52</v>
      </c>
      <c r="E45" s="15">
        <v>20</v>
      </c>
    </row>
    <row r="46" spans="1:5" x14ac:dyDescent="0.2">
      <c r="A46" s="16" t="s">
        <v>74</v>
      </c>
      <c r="B46" s="16">
        <v>4</v>
      </c>
      <c r="C46" s="16">
        <v>50</v>
      </c>
      <c r="D46" s="15"/>
      <c r="E46" s="15"/>
    </row>
    <row r="47" spans="1:5" x14ac:dyDescent="0.2">
      <c r="A47" s="16" t="s">
        <v>73</v>
      </c>
      <c r="B47" s="16">
        <v>7</v>
      </c>
      <c r="C47" s="16">
        <v>49</v>
      </c>
      <c r="D47" s="15">
        <v>63</v>
      </c>
      <c r="E47" s="15">
        <v>11</v>
      </c>
    </row>
    <row r="48" spans="1:5" x14ac:dyDescent="0.2">
      <c r="A48" s="16" t="s">
        <v>72</v>
      </c>
      <c r="B48" s="16">
        <v>6</v>
      </c>
      <c r="C48" s="16">
        <v>55</v>
      </c>
      <c r="D48" s="15">
        <v>57</v>
      </c>
      <c r="E48" s="15">
        <v>5</v>
      </c>
    </row>
    <row r="49" spans="1:5" x14ac:dyDescent="0.2">
      <c r="A49" s="16" t="s">
        <v>71</v>
      </c>
      <c r="B49" s="16">
        <v>2</v>
      </c>
      <c r="C49" s="16">
        <v>58</v>
      </c>
      <c r="D49" s="15"/>
      <c r="E49" s="15"/>
    </row>
    <row r="50" spans="1:5" x14ac:dyDescent="0.2">
      <c r="A50" s="16" t="s">
        <v>70</v>
      </c>
      <c r="B50" s="16">
        <v>6</v>
      </c>
      <c r="C50" s="16">
        <v>60</v>
      </c>
      <c r="D50" s="15">
        <v>73</v>
      </c>
      <c r="E50" s="15">
        <v>18</v>
      </c>
    </row>
    <row r="51" spans="1:5" x14ac:dyDescent="0.2">
      <c r="A51" s="16" t="s">
        <v>69</v>
      </c>
      <c r="B51" s="16">
        <v>7</v>
      </c>
      <c r="C51" s="16">
        <v>59</v>
      </c>
      <c r="D51" s="15">
        <v>60</v>
      </c>
      <c r="E51" s="15">
        <v>16</v>
      </c>
    </row>
    <row r="52" spans="1:5" x14ac:dyDescent="0.2">
      <c r="A52" s="16" t="s">
        <v>68</v>
      </c>
      <c r="B52" s="16">
        <v>5</v>
      </c>
      <c r="C52" s="16">
        <v>42</v>
      </c>
      <c r="D52" s="15">
        <v>55</v>
      </c>
      <c r="E52" s="15">
        <v>18</v>
      </c>
    </row>
    <row r="53" spans="1:5" x14ac:dyDescent="0.2">
      <c r="A53" s="16" t="s">
        <v>67</v>
      </c>
      <c r="B53" s="16">
        <v>3</v>
      </c>
      <c r="C53" s="16">
        <v>66</v>
      </c>
      <c r="D53" s="15">
        <v>78</v>
      </c>
      <c r="E53" s="15"/>
    </row>
    <row r="54" spans="1:5" x14ac:dyDescent="0.2">
      <c r="A54" s="16" t="s">
        <v>66</v>
      </c>
      <c r="B54" s="16">
        <v>3</v>
      </c>
      <c r="C54" s="16">
        <v>49</v>
      </c>
      <c r="D54" s="15">
        <v>50</v>
      </c>
      <c r="E54" s="15"/>
    </row>
    <row r="55" spans="1:5" x14ac:dyDescent="0.2">
      <c r="A55" s="16" t="s">
        <v>65</v>
      </c>
      <c r="B55" s="16">
        <v>1</v>
      </c>
      <c r="C55" s="16">
        <v>54</v>
      </c>
      <c r="D55" s="15">
        <v>55</v>
      </c>
      <c r="E55" s="15">
        <v>12</v>
      </c>
    </row>
    <row r="56" spans="1:5" x14ac:dyDescent="0.2">
      <c r="A56" s="16" t="s">
        <v>64</v>
      </c>
      <c r="B56" s="16">
        <v>4</v>
      </c>
      <c r="C56" s="16">
        <v>56</v>
      </c>
      <c r="D56" s="15"/>
      <c r="E56" s="15"/>
    </row>
    <row r="57" spans="1:5" x14ac:dyDescent="0.2">
      <c r="A57" s="16" t="s">
        <v>63</v>
      </c>
      <c r="B57" s="16">
        <v>2</v>
      </c>
      <c r="C57" s="16">
        <v>58</v>
      </c>
      <c r="D57" s="15"/>
      <c r="E57" s="15"/>
    </row>
    <row r="58" spans="1:5" x14ac:dyDescent="0.2">
      <c r="A58" s="16" t="s">
        <v>62</v>
      </c>
      <c r="B58" s="16">
        <v>3</v>
      </c>
      <c r="C58" s="16">
        <v>63</v>
      </c>
      <c r="D58" s="15">
        <v>78</v>
      </c>
      <c r="E58" s="15"/>
    </row>
    <row r="59" spans="1:5" x14ac:dyDescent="0.2">
      <c r="A59" s="16" t="s">
        <v>61</v>
      </c>
      <c r="B59" s="16">
        <v>3</v>
      </c>
      <c r="C59" s="16">
        <v>51</v>
      </c>
      <c r="D59" s="15">
        <v>64</v>
      </c>
      <c r="E59" s="15"/>
    </row>
    <row r="60" spans="1:5" x14ac:dyDescent="0.2">
      <c r="A60" s="16" t="s">
        <v>60</v>
      </c>
      <c r="B60" s="16">
        <v>4</v>
      </c>
      <c r="C60" s="16">
        <v>55</v>
      </c>
      <c r="D60" s="15"/>
      <c r="E60" s="15"/>
    </row>
    <row r="61" spans="1:5" x14ac:dyDescent="0.2">
      <c r="A61" s="16" t="s">
        <v>59</v>
      </c>
      <c r="B61" s="16">
        <v>1</v>
      </c>
      <c r="C61" s="16">
        <v>41</v>
      </c>
      <c r="D61" s="15">
        <v>51</v>
      </c>
      <c r="E61" s="15">
        <v>12</v>
      </c>
    </row>
    <row r="62" spans="1:5" x14ac:dyDescent="0.2">
      <c r="A62" s="16" t="s">
        <v>58</v>
      </c>
      <c r="B62" s="16">
        <v>1</v>
      </c>
      <c r="C62" s="16">
        <v>54</v>
      </c>
      <c r="D62" s="15">
        <v>63</v>
      </c>
      <c r="E62" s="15">
        <v>17</v>
      </c>
    </row>
    <row r="63" spans="1:5" x14ac:dyDescent="0.2">
      <c r="A63" s="16" t="s">
        <v>57</v>
      </c>
      <c r="B63" s="16">
        <v>7</v>
      </c>
      <c r="C63" s="16">
        <v>42</v>
      </c>
      <c r="D63" s="15">
        <v>57</v>
      </c>
      <c r="E63" s="15">
        <v>17</v>
      </c>
    </row>
    <row r="64" spans="1:5" x14ac:dyDescent="0.2">
      <c r="A64" s="16" t="s">
        <v>56</v>
      </c>
      <c r="B64" s="16">
        <v>4</v>
      </c>
      <c r="C64" s="16">
        <v>53</v>
      </c>
      <c r="D64" s="15"/>
      <c r="E64" s="15"/>
    </row>
    <row r="65" spans="1:5" x14ac:dyDescent="0.2">
      <c r="A65" s="16" t="s">
        <v>55</v>
      </c>
      <c r="B65" s="16">
        <v>2</v>
      </c>
      <c r="C65" s="16">
        <v>58</v>
      </c>
      <c r="D65" s="15"/>
      <c r="E65" s="15"/>
    </row>
    <row r="66" spans="1:5" x14ac:dyDescent="0.2">
      <c r="A66" s="16" t="s">
        <v>54</v>
      </c>
      <c r="B66" s="16">
        <v>1</v>
      </c>
      <c r="C66" s="16">
        <v>54</v>
      </c>
      <c r="D66" s="15">
        <v>66</v>
      </c>
      <c r="E66" s="15">
        <v>20</v>
      </c>
    </row>
    <row r="67" spans="1:5" x14ac:dyDescent="0.2">
      <c r="A67" s="16" t="s">
        <v>53</v>
      </c>
      <c r="B67" s="16">
        <v>7</v>
      </c>
      <c r="C67" s="16">
        <v>47</v>
      </c>
      <c r="D67" s="15">
        <v>57</v>
      </c>
      <c r="E67" s="15">
        <v>8</v>
      </c>
    </row>
    <row r="68" spans="1:5" x14ac:dyDescent="0.2">
      <c r="A68" s="16" t="s">
        <v>52</v>
      </c>
      <c r="B68" s="16">
        <v>2</v>
      </c>
      <c r="C68" s="16">
        <v>60</v>
      </c>
      <c r="D68" s="15"/>
      <c r="E68" s="15"/>
    </row>
    <row r="69" spans="1:5" x14ac:dyDescent="0.2">
      <c r="A69" s="16" t="s">
        <v>51</v>
      </c>
      <c r="B69" s="16">
        <v>2</v>
      </c>
      <c r="C69" s="16">
        <v>49</v>
      </c>
      <c r="D69" s="15"/>
      <c r="E69" s="15"/>
    </row>
    <row r="70" spans="1:5" x14ac:dyDescent="0.2">
      <c r="A70" s="16" t="s">
        <v>50</v>
      </c>
      <c r="B70" s="16">
        <v>3</v>
      </c>
      <c r="C70" s="16">
        <v>53</v>
      </c>
      <c r="D70" s="15">
        <v>58</v>
      </c>
      <c r="E70" s="15"/>
    </row>
    <row r="71" spans="1:5" x14ac:dyDescent="0.2">
      <c r="A71" s="16" t="s">
        <v>49</v>
      </c>
      <c r="B71" s="16">
        <v>7</v>
      </c>
      <c r="C71" s="16">
        <v>50</v>
      </c>
      <c r="D71" s="15">
        <v>50</v>
      </c>
      <c r="E71" s="15">
        <v>15</v>
      </c>
    </row>
    <row r="72" spans="1:5" x14ac:dyDescent="0.2">
      <c r="A72" s="16" t="s">
        <v>48</v>
      </c>
      <c r="B72" s="16">
        <v>7</v>
      </c>
      <c r="C72" s="16">
        <v>44</v>
      </c>
      <c r="D72" s="15">
        <v>46</v>
      </c>
      <c r="E72" s="15">
        <v>9</v>
      </c>
    </row>
    <row r="73" spans="1:5" x14ac:dyDescent="0.2">
      <c r="A73" s="16" t="s">
        <v>47</v>
      </c>
      <c r="B73" s="16">
        <v>1</v>
      </c>
      <c r="C73" s="16">
        <v>56</v>
      </c>
      <c r="D73" s="15">
        <v>59</v>
      </c>
      <c r="E73" s="15">
        <v>14</v>
      </c>
    </row>
    <row r="74" spans="1:5" x14ac:dyDescent="0.2">
      <c r="A74" s="16" t="s">
        <v>46</v>
      </c>
      <c r="B74" s="16">
        <v>4</v>
      </c>
      <c r="C74" s="16">
        <v>51</v>
      </c>
      <c r="D74" s="15"/>
      <c r="E74" s="15"/>
    </row>
    <row r="75" spans="1:5" x14ac:dyDescent="0.2">
      <c r="A75" s="16" t="s">
        <v>45</v>
      </c>
      <c r="B75" s="16">
        <v>5</v>
      </c>
      <c r="C75" s="16">
        <v>68</v>
      </c>
      <c r="D75" s="15">
        <v>72</v>
      </c>
      <c r="E75" s="15">
        <v>5</v>
      </c>
    </row>
    <row r="76" spans="1:5" x14ac:dyDescent="0.2">
      <c r="A76" s="16" t="s">
        <v>44</v>
      </c>
      <c r="B76" s="16">
        <v>3</v>
      </c>
      <c r="C76" s="16">
        <v>57</v>
      </c>
      <c r="D76" s="15">
        <v>64</v>
      </c>
      <c r="E76" s="15"/>
    </row>
    <row r="77" spans="1:5" x14ac:dyDescent="0.2">
      <c r="A77" s="16" t="s">
        <v>43</v>
      </c>
      <c r="B77" s="16">
        <v>3</v>
      </c>
      <c r="C77" s="16">
        <v>45</v>
      </c>
      <c r="D77" s="15">
        <v>48</v>
      </c>
      <c r="E77" s="15"/>
    </row>
    <row r="78" spans="1:5" x14ac:dyDescent="0.2">
      <c r="A78" s="16" t="s">
        <v>42</v>
      </c>
      <c r="B78" s="16">
        <v>1</v>
      </c>
      <c r="C78" s="16">
        <v>54</v>
      </c>
      <c r="D78" s="15">
        <v>64</v>
      </c>
      <c r="E78" s="15">
        <v>11</v>
      </c>
    </row>
    <row r="79" spans="1:5" x14ac:dyDescent="0.2">
      <c r="A79" s="16" t="s">
        <v>41</v>
      </c>
      <c r="B79" s="16">
        <v>3</v>
      </c>
      <c r="C79" s="16">
        <v>51</v>
      </c>
      <c r="D79" s="15">
        <v>62</v>
      </c>
      <c r="E79" s="15"/>
    </row>
    <row r="80" spans="1:5" x14ac:dyDescent="0.2">
      <c r="A80" s="16" t="s">
        <v>40</v>
      </c>
      <c r="B80" s="16">
        <v>2</v>
      </c>
      <c r="C80" s="16">
        <v>46</v>
      </c>
      <c r="D80" s="15"/>
      <c r="E80" s="15"/>
    </row>
    <row r="81" spans="1:5" x14ac:dyDescent="0.2">
      <c r="A81" s="16" t="s">
        <v>39</v>
      </c>
      <c r="B81" s="16">
        <v>3</v>
      </c>
      <c r="C81" s="16">
        <v>66</v>
      </c>
      <c r="D81" s="15">
        <v>66</v>
      </c>
      <c r="E81" s="15"/>
    </row>
    <row r="82" spans="1:5" x14ac:dyDescent="0.2">
      <c r="A82" s="16" t="s">
        <v>38</v>
      </c>
      <c r="B82" s="16">
        <v>7</v>
      </c>
      <c r="C82" s="16">
        <v>62</v>
      </c>
      <c r="D82" s="15">
        <v>68</v>
      </c>
      <c r="E82" s="15">
        <v>17</v>
      </c>
    </row>
    <row r="83" spans="1:5" x14ac:dyDescent="0.2">
      <c r="A83" s="16" t="s">
        <v>37</v>
      </c>
      <c r="B83" s="16">
        <v>3</v>
      </c>
      <c r="C83" s="16">
        <v>57</v>
      </c>
      <c r="D83" s="15">
        <v>70</v>
      </c>
      <c r="E83" s="15"/>
    </row>
    <row r="84" spans="1:5" x14ac:dyDescent="0.2">
      <c r="A84" s="16" t="s">
        <v>36</v>
      </c>
      <c r="B84" s="16">
        <v>5</v>
      </c>
      <c r="C84" s="16">
        <v>47</v>
      </c>
      <c r="D84" s="15">
        <v>47</v>
      </c>
      <c r="E84" s="15">
        <v>7</v>
      </c>
    </row>
    <row r="85" spans="1:5" x14ac:dyDescent="0.2">
      <c r="A85" s="16" t="s">
        <v>35</v>
      </c>
      <c r="B85" s="16">
        <v>2</v>
      </c>
      <c r="C85" s="16">
        <v>54</v>
      </c>
      <c r="D85" s="15"/>
      <c r="E85" s="15"/>
    </row>
    <row r="86" spans="1:5" x14ac:dyDescent="0.2">
      <c r="A86" s="16" t="s">
        <v>34</v>
      </c>
      <c r="B86" s="16">
        <v>1</v>
      </c>
      <c r="C86" s="16">
        <v>42</v>
      </c>
      <c r="D86" s="15">
        <v>51</v>
      </c>
      <c r="E86" s="15">
        <v>10</v>
      </c>
    </row>
    <row r="87" spans="1:5" x14ac:dyDescent="0.2">
      <c r="A87" s="16" t="s">
        <v>33</v>
      </c>
      <c r="B87" s="16">
        <v>7</v>
      </c>
      <c r="C87" s="16">
        <v>45</v>
      </c>
      <c r="D87" s="15">
        <v>48</v>
      </c>
      <c r="E87" s="15">
        <v>9</v>
      </c>
    </row>
    <row r="88" spans="1:5" x14ac:dyDescent="0.2">
      <c r="A88" s="16" t="s">
        <v>32</v>
      </c>
      <c r="B88" s="16">
        <v>7</v>
      </c>
      <c r="C88" s="16">
        <v>60</v>
      </c>
      <c r="D88" s="15">
        <v>61</v>
      </c>
      <c r="E88" s="15">
        <v>13</v>
      </c>
    </row>
    <row r="89" spans="1:5" x14ac:dyDescent="0.2">
      <c r="A89" s="16" t="s">
        <v>31</v>
      </c>
      <c r="B89" s="16">
        <v>1</v>
      </c>
      <c r="C89" s="16">
        <v>63</v>
      </c>
      <c r="D89" s="15">
        <v>73</v>
      </c>
      <c r="E89" s="15">
        <v>6</v>
      </c>
    </row>
    <row r="90" spans="1:5" x14ac:dyDescent="0.2">
      <c r="A90" s="16" t="s">
        <v>30</v>
      </c>
      <c r="B90" s="16">
        <v>2</v>
      </c>
      <c r="C90" s="16">
        <v>70</v>
      </c>
      <c r="D90" s="15"/>
      <c r="E90" s="15"/>
    </row>
    <row r="91" spans="1:5" x14ac:dyDescent="0.2">
      <c r="A91" s="16" t="s">
        <v>29</v>
      </c>
      <c r="B91" s="16">
        <v>2</v>
      </c>
      <c r="C91" s="16">
        <v>69</v>
      </c>
      <c r="D91" s="15"/>
      <c r="E91" s="15"/>
    </row>
    <row r="92" spans="1:5" x14ac:dyDescent="0.2">
      <c r="A92" s="16" t="s">
        <v>28</v>
      </c>
      <c r="B92" s="16">
        <v>3</v>
      </c>
      <c r="C92" s="16">
        <v>63</v>
      </c>
      <c r="D92" s="15">
        <v>66</v>
      </c>
      <c r="E92" s="15"/>
    </row>
    <row r="93" spans="1:5" x14ac:dyDescent="0.2">
      <c r="A93" s="16" t="s">
        <v>27</v>
      </c>
      <c r="B93" s="16">
        <v>3</v>
      </c>
      <c r="C93" s="16">
        <v>68</v>
      </c>
      <c r="D93" s="15">
        <v>80</v>
      </c>
      <c r="E93" s="15"/>
    </row>
    <row r="94" spans="1:5" x14ac:dyDescent="0.2">
      <c r="A94" s="16" t="s">
        <v>26</v>
      </c>
      <c r="B94" s="16">
        <v>7</v>
      </c>
      <c r="C94" s="16">
        <v>63</v>
      </c>
      <c r="D94" s="15">
        <v>69</v>
      </c>
      <c r="E94" s="15">
        <v>17</v>
      </c>
    </row>
    <row r="95" spans="1:5" x14ac:dyDescent="0.2">
      <c r="A95" s="16" t="s">
        <v>25</v>
      </c>
      <c r="B95" s="16">
        <v>3</v>
      </c>
      <c r="C95" s="16">
        <v>45</v>
      </c>
      <c r="D95" s="15">
        <v>59</v>
      </c>
      <c r="E95" s="15"/>
    </row>
    <row r="96" spans="1:5" x14ac:dyDescent="0.2">
      <c r="A96" s="16" t="s">
        <v>24</v>
      </c>
      <c r="B96" s="16">
        <v>3</v>
      </c>
      <c r="C96" s="16">
        <v>55</v>
      </c>
      <c r="D96" s="15">
        <v>65</v>
      </c>
      <c r="E96" s="15"/>
    </row>
    <row r="97" spans="1:5" x14ac:dyDescent="0.2">
      <c r="A97" s="16" t="s">
        <v>23</v>
      </c>
      <c r="B97" s="16">
        <v>3</v>
      </c>
      <c r="C97" s="16">
        <v>68</v>
      </c>
      <c r="D97" s="15">
        <v>69</v>
      </c>
      <c r="E97" s="15"/>
    </row>
    <row r="98" spans="1:5" x14ac:dyDescent="0.2">
      <c r="A98" s="16" t="s">
        <v>22</v>
      </c>
      <c r="B98" s="16">
        <v>1</v>
      </c>
      <c r="C98" s="16">
        <v>65</v>
      </c>
      <c r="D98" s="15">
        <v>80</v>
      </c>
      <c r="E98" s="15">
        <v>12</v>
      </c>
    </row>
    <row r="99" spans="1:5" x14ac:dyDescent="0.2">
      <c r="A99" s="16" t="s">
        <v>21</v>
      </c>
      <c r="B99" s="16">
        <v>3</v>
      </c>
      <c r="C99" s="16">
        <v>58</v>
      </c>
      <c r="D99" s="15">
        <v>60</v>
      </c>
      <c r="E99" s="15"/>
    </row>
    <row r="100" spans="1:5" x14ac:dyDescent="0.2">
      <c r="A100" s="16" t="s">
        <v>20</v>
      </c>
      <c r="B100" s="16">
        <v>3</v>
      </c>
      <c r="C100" s="16">
        <v>41</v>
      </c>
      <c r="D100" s="15">
        <v>51</v>
      </c>
      <c r="E100" s="15"/>
    </row>
    <row r="101" spans="1:5" x14ac:dyDescent="0.2">
      <c r="A101" s="16" t="s">
        <v>19</v>
      </c>
      <c r="B101" s="16">
        <v>3</v>
      </c>
      <c r="C101" s="16">
        <v>61</v>
      </c>
      <c r="D101" s="15">
        <v>70</v>
      </c>
      <c r="E101" s="15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6C5A9-E208-2445-BF64-EE485A5B872D}">
  <sheetPr codeName="Sheet4"/>
  <dimension ref="A1:M101"/>
  <sheetViews>
    <sheetView zoomScale="82" workbookViewId="0">
      <selection activeCell="H73" sqref="H73"/>
    </sheetView>
  </sheetViews>
  <sheetFormatPr baseColWidth="10" defaultRowHeight="13" x14ac:dyDescent="0.15"/>
  <cols>
    <col min="2" max="2" width="13.6640625" bestFit="1" customWidth="1"/>
    <col min="3" max="3" width="19.5" bestFit="1" customWidth="1"/>
    <col min="4" max="4" width="17.6640625" bestFit="1" customWidth="1"/>
    <col min="7" max="7" width="13.1640625" bestFit="1" customWidth="1"/>
    <col min="8" max="8" width="14.1640625" bestFit="1" customWidth="1"/>
    <col min="9" max="9" width="13.1640625" bestFit="1" customWidth="1"/>
    <col min="10" max="10" width="14.1640625" bestFit="1" customWidth="1"/>
    <col min="11" max="11" width="13.1640625" bestFit="1" customWidth="1"/>
    <col min="12" max="12" width="11.6640625" bestFit="1" customWidth="1"/>
    <col min="13" max="13" width="13.1640625" bestFit="1" customWidth="1"/>
  </cols>
  <sheetData>
    <row r="1" spans="1:13" x14ac:dyDescent="0.15">
      <c r="A1" s="18" t="s">
        <v>121</v>
      </c>
      <c r="B1" s="18" t="s">
        <v>6</v>
      </c>
      <c r="C1" s="18" t="s">
        <v>9</v>
      </c>
      <c r="D1" s="18" t="s">
        <v>11</v>
      </c>
      <c r="F1" s="23"/>
      <c r="G1" s="24" t="s">
        <v>7</v>
      </c>
      <c r="H1" s="24" t="s">
        <v>13</v>
      </c>
      <c r="I1" s="24" t="s">
        <v>14</v>
      </c>
      <c r="J1" s="24" t="s">
        <v>15</v>
      </c>
      <c r="K1" s="24" t="s">
        <v>124</v>
      </c>
      <c r="L1" s="24" t="s">
        <v>17</v>
      </c>
      <c r="M1" s="25" t="s">
        <v>125</v>
      </c>
    </row>
    <row r="2" spans="1:13" ht="15" x14ac:dyDescent="0.2">
      <c r="A2" s="16" t="str">
        <f>'Block of Business'!A2</f>
        <v>Client # 1</v>
      </c>
      <c r="B2" s="19">
        <v>421000</v>
      </c>
      <c r="C2" s="7">
        <v>19</v>
      </c>
      <c r="D2" s="7">
        <v>85</v>
      </c>
      <c r="F2" s="26" t="s">
        <v>127</v>
      </c>
      <c r="G2" s="30">
        <v>15000</v>
      </c>
      <c r="H2" s="30">
        <v>86000</v>
      </c>
      <c r="I2" s="30">
        <v>14400</v>
      </c>
      <c r="J2" s="30">
        <v>64000</v>
      </c>
      <c r="K2" s="30">
        <v>19000</v>
      </c>
      <c r="L2" s="30">
        <v>0</v>
      </c>
      <c r="M2" s="30">
        <v>30000</v>
      </c>
    </row>
    <row r="3" spans="1:13" ht="15" x14ac:dyDescent="0.2">
      <c r="A3" s="16" t="str">
        <f>'Block of Business'!A3</f>
        <v>Client # 2</v>
      </c>
      <c r="B3" s="19">
        <v>3280000</v>
      </c>
      <c r="C3" s="7">
        <v>41</v>
      </c>
      <c r="D3" s="7">
        <v>100</v>
      </c>
      <c r="F3" s="26" t="s">
        <v>128</v>
      </c>
      <c r="G3" s="30">
        <v>75000</v>
      </c>
      <c r="H3" s="30">
        <v>89000</v>
      </c>
      <c r="I3" s="30">
        <v>28800</v>
      </c>
      <c r="J3" s="30">
        <v>65000</v>
      </c>
      <c r="K3" s="30">
        <v>19000</v>
      </c>
      <c r="L3" s="30">
        <v>0</v>
      </c>
      <c r="M3" s="30">
        <v>60000</v>
      </c>
    </row>
    <row r="4" spans="1:13" ht="15" x14ac:dyDescent="0.2">
      <c r="A4" s="16" t="str">
        <f>'Block of Business'!A4</f>
        <v>Client # 3</v>
      </c>
      <c r="B4" s="19">
        <v>439200</v>
      </c>
      <c r="C4" s="7">
        <v>61</v>
      </c>
      <c r="D4" s="7">
        <v>110</v>
      </c>
      <c r="F4" s="26" t="s">
        <v>129</v>
      </c>
      <c r="G4" s="30">
        <v>75000</v>
      </c>
      <c r="H4" s="30">
        <v>117000</v>
      </c>
      <c r="I4" s="30">
        <v>43200</v>
      </c>
      <c r="J4" s="30">
        <v>126000</v>
      </c>
      <c r="K4" s="30">
        <v>19000</v>
      </c>
      <c r="L4" s="30">
        <v>20000</v>
      </c>
      <c r="M4" s="30">
        <v>90000</v>
      </c>
    </row>
    <row r="5" spans="1:13" ht="15" x14ac:dyDescent="0.2">
      <c r="A5" s="16" t="str">
        <f>'Block of Business'!A5</f>
        <v>Client # 4</v>
      </c>
      <c r="B5" s="19">
        <v>270000</v>
      </c>
      <c r="C5" s="7">
        <v>18</v>
      </c>
      <c r="D5" s="7">
        <v>65</v>
      </c>
      <c r="F5" s="26" t="s">
        <v>130</v>
      </c>
      <c r="G5" s="30">
        <v>105000</v>
      </c>
      <c r="H5" s="30">
        <v>121000</v>
      </c>
      <c r="I5" s="30">
        <v>57600</v>
      </c>
      <c r="J5" s="30">
        <v>128000</v>
      </c>
      <c r="K5" s="30">
        <v>63000</v>
      </c>
      <c r="L5" s="30">
        <v>20000</v>
      </c>
      <c r="M5" s="30">
        <v>90000</v>
      </c>
    </row>
    <row r="6" spans="1:13" ht="15" x14ac:dyDescent="0.2">
      <c r="A6" s="16" t="str">
        <f>'Block of Business'!A6</f>
        <v>Client # 5</v>
      </c>
      <c r="B6" s="19">
        <v>1185000</v>
      </c>
      <c r="C6" s="7">
        <v>30</v>
      </c>
      <c r="D6" s="7">
        <v>94</v>
      </c>
      <c r="F6" s="26" t="s">
        <v>131</v>
      </c>
      <c r="G6" s="30">
        <v>105000</v>
      </c>
      <c r="H6" s="30">
        <v>125000</v>
      </c>
      <c r="I6" s="30">
        <v>64800</v>
      </c>
      <c r="J6" s="30">
        <v>190000</v>
      </c>
      <c r="K6" s="30">
        <v>82000</v>
      </c>
      <c r="L6" s="30">
        <v>20000</v>
      </c>
      <c r="M6" s="30">
        <v>120000</v>
      </c>
    </row>
    <row r="7" spans="1:13" ht="15" x14ac:dyDescent="0.2">
      <c r="A7" s="16" t="str">
        <f>'Block of Business'!A7</f>
        <v>Client # 6</v>
      </c>
      <c r="B7" s="19">
        <v>1185000</v>
      </c>
      <c r="C7" s="7">
        <v>30</v>
      </c>
      <c r="D7" s="7">
        <v>94</v>
      </c>
      <c r="F7" s="26" t="s">
        <v>132</v>
      </c>
      <c r="G7" s="30">
        <v>105000</v>
      </c>
      <c r="H7" s="30">
        <v>154000</v>
      </c>
      <c r="I7" s="30">
        <v>72000</v>
      </c>
      <c r="J7" s="30">
        <v>253000</v>
      </c>
      <c r="K7" s="30">
        <v>101000</v>
      </c>
      <c r="L7" s="30">
        <v>20000</v>
      </c>
      <c r="M7" s="30">
        <v>90000</v>
      </c>
    </row>
    <row r="8" spans="1:13" ht="15" x14ac:dyDescent="0.2">
      <c r="A8" s="16" t="str">
        <f>'Block of Business'!A8</f>
        <v>Client # 7</v>
      </c>
      <c r="B8" s="19">
        <v>3034000</v>
      </c>
      <c r="C8" s="7">
        <v>37</v>
      </c>
      <c r="D8" s="7">
        <v>100</v>
      </c>
      <c r="F8" s="26" t="s">
        <v>133</v>
      </c>
      <c r="G8" s="30">
        <v>150000</v>
      </c>
      <c r="H8" s="30">
        <v>159000</v>
      </c>
      <c r="I8" s="30">
        <v>72000</v>
      </c>
      <c r="J8" s="30">
        <v>257000</v>
      </c>
      <c r="K8" s="30">
        <v>107000</v>
      </c>
      <c r="L8" s="30">
        <v>20000</v>
      </c>
      <c r="M8" s="30">
        <v>180000</v>
      </c>
    </row>
    <row r="9" spans="1:13" ht="15" x14ac:dyDescent="0.2">
      <c r="A9" s="16" t="str">
        <f>'Block of Business'!A9</f>
        <v>Client # 8</v>
      </c>
      <c r="B9" s="19">
        <v>367200</v>
      </c>
      <c r="C9" s="7">
        <v>51</v>
      </c>
      <c r="D9" s="7">
        <v>110</v>
      </c>
      <c r="F9" s="26" t="s">
        <v>134</v>
      </c>
      <c r="G9" s="30">
        <v>150000</v>
      </c>
      <c r="H9" s="30">
        <v>239000</v>
      </c>
      <c r="I9" s="30">
        <v>79200</v>
      </c>
      <c r="J9" s="30">
        <v>321000</v>
      </c>
      <c r="K9" s="30">
        <v>101000</v>
      </c>
      <c r="L9" s="30">
        <v>5000</v>
      </c>
      <c r="M9" s="30">
        <v>90000</v>
      </c>
    </row>
    <row r="10" spans="1:13" ht="15" x14ac:dyDescent="0.2">
      <c r="A10" s="16" t="str">
        <f>'Block of Business'!A10</f>
        <v>Client # 9</v>
      </c>
      <c r="B10" s="19">
        <v>3280000</v>
      </c>
      <c r="C10" s="7">
        <v>41</v>
      </c>
      <c r="D10" s="7">
        <v>100</v>
      </c>
      <c r="F10" s="26" t="s">
        <v>135</v>
      </c>
      <c r="G10" s="30">
        <v>150000</v>
      </c>
      <c r="H10" s="30">
        <v>247000</v>
      </c>
      <c r="I10" s="30">
        <v>79200</v>
      </c>
      <c r="J10" s="30">
        <v>326000</v>
      </c>
      <c r="K10" s="30">
        <v>101000</v>
      </c>
      <c r="L10" s="30">
        <v>10000</v>
      </c>
      <c r="M10" s="30">
        <v>180000</v>
      </c>
    </row>
    <row r="11" spans="1:13" ht="15" x14ac:dyDescent="0.2">
      <c r="A11" s="16" t="str">
        <f>'Block of Business'!A11</f>
        <v>Client # 10</v>
      </c>
      <c r="B11" s="19">
        <v>440000</v>
      </c>
      <c r="C11" s="7">
        <v>20</v>
      </c>
      <c r="D11" s="7">
        <v>82</v>
      </c>
      <c r="F11" s="26" t="s">
        <v>136</v>
      </c>
      <c r="G11" s="30">
        <v>195000</v>
      </c>
      <c r="H11" s="30">
        <v>280000</v>
      </c>
      <c r="I11" s="30">
        <v>86400</v>
      </c>
      <c r="J11" s="30">
        <v>391000</v>
      </c>
      <c r="K11" s="30">
        <v>95000</v>
      </c>
      <c r="L11" s="30">
        <v>10000</v>
      </c>
      <c r="M11" s="30">
        <v>120000</v>
      </c>
    </row>
    <row r="12" spans="1:13" ht="15" x14ac:dyDescent="0.2">
      <c r="A12" s="16" t="str">
        <f>'Block of Business'!A12</f>
        <v>Client # 11</v>
      </c>
      <c r="B12" s="19">
        <v>240000</v>
      </c>
      <c r="C12" s="7">
        <v>8</v>
      </c>
      <c r="D12" s="7">
        <v>78</v>
      </c>
      <c r="F12" s="26" t="s">
        <v>137</v>
      </c>
      <c r="G12" s="30">
        <v>240000</v>
      </c>
      <c r="H12" s="30">
        <v>289000</v>
      </c>
      <c r="I12" s="30">
        <v>108000</v>
      </c>
      <c r="J12" s="30">
        <v>517000</v>
      </c>
      <c r="K12" s="30">
        <v>95000</v>
      </c>
      <c r="L12" s="30">
        <v>10000</v>
      </c>
      <c r="M12" s="30">
        <v>210000</v>
      </c>
    </row>
    <row r="13" spans="1:13" ht="15" x14ac:dyDescent="0.2">
      <c r="A13" s="16" t="str">
        <f>'Block of Business'!A13</f>
        <v>Client # 12</v>
      </c>
      <c r="B13" s="19">
        <v>75000</v>
      </c>
      <c r="C13" s="7">
        <v>5</v>
      </c>
      <c r="D13" s="7">
        <v>72</v>
      </c>
      <c r="F13" s="26" t="s">
        <v>138</v>
      </c>
      <c r="G13" s="30">
        <v>240000</v>
      </c>
      <c r="H13" s="30">
        <v>323000</v>
      </c>
      <c r="I13" s="30">
        <v>115200</v>
      </c>
      <c r="J13" s="30">
        <v>525000</v>
      </c>
      <c r="K13" s="30">
        <v>101000</v>
      </c>
      <c r="L13" s="30">
        <v>10000</v>
      </c>
      <c r="M13" s="30">
        <v>120000</v>
      </c>
    </row>
    <row r="14" spans="1:13" ht="15" x14ac:dyDescent="0.2">
      <c r="A14" s="16" t="str">
        <f>'Block of Business'!A14</f>
        <v>Client # 13</v>
      </c>
      <c r="B14" s="19">
        <v>75000</v>
      </c>
      <c r="C14" s="7">
        <v>5</v>
      </c>
      <c r="D14" s="7">
        <v>58</v>
      </c>
      <c r="F14" s="26" t="s">
        <v>139</v>
      </c>
      <c r="G14" s="30">
        <v>225000</v>
      </c>
      <c r="H14" s="30">
        <v>333000</v>
      </c>
      <c r="I14" s="30">
        <v>136800</v>
      </c>
      <c r="J14" s="30">
        <v>533000</v>
      </c>
      <c r="K14" s="30">
        <v>101000</v>
      </c>
      <c r="L14" s="30">
        <v>10000</v>
      </c>
      <c r="M14" s="30">
        <v>150000</v>
      </c>
    </row>
    <row r="15" spans="1:13" ht="15" x14ac:dyDescent="0.2">
      <c r="A15" s="16" t="str">
        <f>'Block of Business'!A15</f>
        <v>Client # 14</v>
      </c>
      <c r="B15" s="19">
        <v>285000</v>
      </c>
      <c r="C15" s="7">
        <v>19</v>
      </c>
      <c r="D15" s="7">
        <v>76</v>
      </c>
      <c r="F15" s="26" t="s">
        <v>140</v>
      </c>
      <c r="G15" s="30">
        <v>240000</v>
      </c>
      <c r="H15" s="30">
        <v>368000</v>
      </c>
      <c r="I15" s="30">
        <v>151200</v>
      </c>
      <c r="J15" s="30">
        <v>541000</v>
      </c>
      <c r="K15" s="30">
        <v>145000</v>
      </c>
      <c r="L15" s="30">
        <v>15555.56</v>
      </c>
      <c r="M15" s="30">
        <v>90000</v>
      </c>
    </row>
    <row r="16" spans="1:13" ht="15" x14ac:dyDescent="0.2">
      <c r="A16" s="16" t="str">
        <f>'Block of Business'!A16</f>
        <v>Client # 15</v>
      </c>
      <c r="B16" s="19">
        <v>100000</v>
      </c>
      <c r="C16" s="7">
        <v>7</v>
      </c>
      <c r="D16" s="7">
        <v>73</v>
      </c>
      <c r="F16" s="26" t="s">
        <v>141</v>
      </c>
      <c r="G16" s="30">
        <v>240000</v>
      </c>
      <c r="H16" s="30">
        <v>379000</v>
      </c>
      <c r="I16" s="30">
        <v>158400</v>
      </c>
      <c r="J16" s="30">
        <v>609000</v>
      </c>
      <c r="K16" s="30">
        <v>145000</v>
      </c>
      <c r="L16" s="30">
        <v>29841.279999999999</v>
      </c>
      <c r="M16" s="30">
        <v>210000</v>
      </c>
    </row>
    <row r="17" spans="1:13" ht="15" x14ac:dyDescent="0.2">
      <c r="A17" s="16" t="str">
        <f>'Block of Business'!A17</f>
        <v>Client # 16</v>
      </c>
      <c r="B17" s="19">
        <v>150000</v>
      </c>
      <c r="C17" s="7">
        <v>5</v>
      </c>
      <c r="D17" s="7">
        <v>66</v>
      </c>
      <c r="F17" s="26" t="s">
        <v>142</v>
      </c>
      <c r="G17" s="30">
        <v>240000</v>
      </c>
      <c r="H17" s="30">
        <v>390000</v>
      </c>
      <c r="I17" s="30">
        <v>165600</v>
      </c>
      <c r="J17" s="30">
        <v>618000</v>
      </c>
      <c r="K17" s="30">
        <v>157000</v>
      </c>
      <c r="L17" s="30">
        <v>29841.279999999999</v>
      </c>
      <c r="M17" s="30">
        <v>120000</v>
      </c>
    </row>
    <row r="18" spans="1:13" ht="15" x14ac:dyDescent="0.2">
      <c r="A18" s="16" t="str">
        <f>'Block of Business'!A18</f>
        <v>Client # 17</v>
      </c>
      <c r="B18" s="19">
        <v>440000</v>
      </c>
      <c r="C18" s="7">
        <v>20</v>
      </c>
      <c r="D18" s="7">
        <v>80</v>
      </c>
      <c r="F18" s="26" t="s">
        <v>143</v>
      </c>
      <c r="G18" s="30">
        <v>225000</v>
      </c>
      <c r="H18" s="30">
        <v>451000</v>
      </c>
      <c r="I18" s="30">
        <v>165600</v>
      </c>
      <c r="J18" s="30">
        <v>627000</v>
      </c>
      <c r="K18" s="30">
        <v>163000</v>
      </c>
      <c r="L18" s="30">
        <v>29841.279999999999</v>
      </c>
      <c r="M18" s="30">
        <v>180000</v>
      </c>
    </row>
    <row r="19" spans="1:13" ht="15" x14ac:dyDescent="0.2">
      <c r="A19" s="16" t="str">
        <f>'Block of Business'!A19</f>
        <v>Client # 18</v>
      </c>
      <c r="B19" s="19">
        <v>1185000</v>
      </c>
      <c r="C19" s="7">
        <v>30</v>
      </c>
      <c r="D19" s="7">
        <v>94</v>
      </c>
      <c r="F19" s="26" t="s">
        <v>144</v>
      </c>
      <c r="G19" s="30">
        <v>210000</v>
      </c>
      <c r="H19" s="30">
        <v>464000</v>
      </c>
      <c r="I19" s="30">
        <v>165600</v>
      </c>
      <c r="J19" s="30">
        <v>636000</v>
      </c>
      <c r="K19" s="30">
        <v>163000</v>
      </c>
      <c r="L19" s="30">
        <v>29841.279999999999</v>
      </c>
      <c r="M19" s="30">
        <v>90000</v>
      </c>
    </row>
    <row r="20" spans="1:13" ht="15" x14ac:dyDescent="0.2">
      <c r="A20" s="16" t="str">
        <f>'Block of Business'!A20</f>
        <v>Client # 19</v>
      </c>
      <c r="B20" s="19">
        <v>1185000</v>
      </c>
      <c r="C20" s="7">
        <v>30</v>
      </c>
      <c r="D20" s="7">
        <v>94</v>
      </c>
      <c r="F20" s="26" t="s">
        <v>145</v>
      </c>
      <c r="G20" s="30">
        <v>180000</v>
      </c>
      <c r="H20" s="30">
        <v>502000</v>
      </c>
      <c r="I20" s="30">
        <v>165600</v>
      </c>
      <c r="J20" s="30">
        <v>645000</v>
      </c>
      <c r="K20" s="30">
        <v>138000</v>
      </c>
      <c r="L20" s="30">
        <v>29841.279999999999</v>
      </c>
      <c r="M20" s="30">
        <v>150000</v>
      </c>
    </row>
    <row r="21" spans="1:13" ht="15" x14ac:dyDescent="0.2">
      <c r="A21" s="16" t="str">
        <f>'Block of Business'!A21</f>
        <v>Client # 20</v>
      </c>
      <c r="B21" s="19">
        <v>504000</v>
      </c>
      <c r="C21" s="7">
        <v>70</v>
      </c>
      <c r="D21" s="7">
        <v>110</v>
      </c>
      <c r="F21" s="26" t="s">
        <v>146</v>
      </c>
      <c r="G21" s="30">
        <v>150000</v>
      </c>
      <c r="H21" s="30">
        <v>541000</v>
      </c>
      <c r="I21" s="30">
        <v>165600</v>
      </c>
      <c r="J21" s="30">
        <v>654000</v>
      </c>
      <c r="K21" s="30">
        <v>144000</v>
      </c>
      <c r="L21" s="30">
        <v>29841.279999999999</v>
      </c>
      <c r="M21" s="30">
        <v>90000</v>
      </c>
    </row>
    <row r="22" spans="1:13" ht="15" x14ac:dyDescent="0.2">
      <c r="A22" s="16" t="str">
        <f>'Block of Business'!A22</f>
        <v>Client # 21</v>
      </c>
      <c r="B22" s="19">
        <v>100000</v>
      </c>
      <c r="C22" s="7">
        <v>20</v>
      </c>
      <c r="D22" s="7">
        <v>77</v>
      </c>
      <c r="F22" s="26" t="s">
        <v>147</v>
      </c>
      <c r="G22" s="30">
        <v>135000</v>
      </c>
      <c r="H22" s="30">
        <v>556000</v>
      </c>
      <c r="I22" s="30">
        <v>165600</v>
      </c>
      <c r="J22" s="30">
        <v>663000</v>
      </c>
      <c r="K22" s="30">
        <v>119000</v>
      </c>
      <c r="L22" s="30">
        <v>29841.24</v>
      </c>
      <c r="M22" s="30">
        <v>90000</v>
      </c>
    </row>
    <row r="23" spans="1:13" ht="15" x14ac:dyDescent="0.2">
      <c r="A23" s="16" t="str">
        <f>'Block of Business'!A23</f>
        <v>Client # 22</v>
      </c>
      <c r="B23" s="19">
        <v>3280000</v>
      </c>
      <c r="C23" s="7">
        <v>41</v>
      </c>
      <c r="D23" s="7">
        <v>100</v>
      </c>
      <c r="F23" s="26" t="s">
        <v>148</v>
      </c>
      <c r="G23" s="30">
        <v>105000</v>
      </c>
      <c r="H23" s="30">
        <v>571000</v>
      </c>
      <c r="I23" s="30">
        <v>165600</v>
      </c>
      <c r="J23" s="30">
        <v>672000</v>
      </c>
      <c r="K23" s="30">
        <v>119000</v>
      </c>
      <c r="L23" s="30">
        <v>15555.56</v>
      </c>
      <c r="M23" s="30">
        <v>60000</v>
      </c>
    </row>
    <row r="24" spans="1:13" ht="15" x14ac:dyDescent="0.2">
      <c r="A24" s="16" t="str">
        <f>'Block of Business'!A24</f>
        <v>Client # 23</v>
      </c>
      <c r="B24" s="19">
        <v>90000</v>
      </c>
      <c r="C24" s="7">
        <v>6</v>
      </c>
      <c r="D24" s="7">
        <v>62</v>
      </c>
      <c r="F24" s="26" t="s">
        <v>149</v>
      </c>
      <c r="G24" s="30">
        <v>90000</v>
      </c>
      <c r="H24" s="30">
        <v>586000</v>
      </c>
      <c r="I24" s="30">
        <v>165600</v>
      </c>
      <c r="J24" s="30">
        <v>681000</v>
      </c>
      <c r="K24" s="30">
        <v>125000</v>
      </c>
      <c r="L24" s="30">
        <v>15555.56</v>
      </c>
      <c r="M24" s="30">
        <v>90000</v>
      </c>
    </row>
    <row r="25" spans="1:13" ht="15" x14ac:dyDescent="0.2">
      <c r="A25" s="16" t="str">
        <f>'Block of Business'!A25</f>
        <v>Client # 24</v>
      </c>
      <c r="B25" s="19">
        <v>377000</v>
      </c>
      <c r="C25" s="7">
        <v>17</v>
      </c>
      <c r="D25" s="7">
        <v>59</v>
      </c>
      <c r="F25" s="26" t="s">
        <v>150</v>
      </c>
      <c r="G25" s="30">
        <v>90000</v>
      </c>
      <c r="H25" s="30">
        <v>626000</v>
      </c>
      <c r="I25" s="30">
        <v>165600</v>
      </c>
      <c r="J25" s="30">
        <v>690000</v>
      </c>
      <c r="K25" s="30">
        <v>100000</v>
      </c>
      <c r="L25" s="30">
        <v>15555.56</v>
      </c>
      <c r="M25" s="30">
        <v>60000</v>
      </c>
    </row>
    <row r="26" spans="1:13" ht="15" x14ac:dyDescent="0.2">
      <c r="A26" s="16" t="str">
        <f>'Block of Business'!A26</f>
        <v>Client # 25</v>
      </c>
      <c r="B26" s="19">
        <v>90000</v>
      </c>
      <c r="C26" s="7">
        <v>3</v>
      </c>
      <c r="D26" s="7">
        <v>65</v>
      </c>
      <c r="F26" s="26" t="s">
        <v>151</v>
      </c>
      <c r="G26" s="30">
        <v>90000</v>
      </c>
      <c r="H26" s="30">
        <v>667000</v>
      </c>
      <c r="I26" s="30">
        <v>165600</v>
      </c>
      <c r="J26" s="30">
        <v>699000</v>
      </c>
      <c r="K26" s="30">
        <v>100000</v>
      </c>
      <c r="L26" s="30">
        <v>15555.56</v>
      </c>
      <c r="M26" s="30">
        <v>30000</v>
      </c>
    </row>
    <row r="27" spans="1:13" ht="15" x14ac:dyDescent="0.2">
      <c r="A27" s="16" t="str">
        <f>'Block of Business'!A27</f>
        <v>Client # 26</v>
      </c>
      <c r="B27" s="19">
        <v>440000</v>
      </c>
      <c r="C27" s="7">
        <v>20</v>
      </c>
      <c r="D27" s="7">
        <v>79</v>
      </c>
      <c r="F27" s="26" t="s">
        <v>152</v>
      </c>
      <c r="G27" s="30">
        <v>90000</v>
      </c>
      <c r="H27" s="30">
        <v>629000</v>
      </c>
      <c r="I27" s="30">
        <v>165600</v>
      </c>
      <c r="J27" s="30">
        <v>708000</v>
      </c>
      <c r="K27" s="30">
        <v>75000</v>
      </c>
      <c r="L27" s="30">
        <v>15555.56</v>
      </c>
      <c r="M27" s="30">
        <v>30000</v>
      </c>
    </row>
    <row r="28" spans="1:13" ht="15" x14ac:dyDescent="0.2">
      <c r="A28" s="16" t="str">
        <f>'Block of Business'!A28</f>
        <v>Client # 27</v>
      </c>
      <c r="B28" s="19">
        <v>180000</v>
      </c>
      <c r="C28" s="7">
        <v>12</v>
      </c>
      <c r="D28" s="7">
        <v>77</v>
      </c>
      <c r="F28" s="26" t="s">
        <v>153</v>
      </c>
      <c r="G28" s="30">
        <v>45000</v>
      </c>
      <c r="H28" s="30">
        <v>590000</v>
      </c>
      <c r="I28" s="30">
        <v>165600</v>
      </c>
      <c r="J28" s="30">
        <v>717000</v>
      </c>
      <c r="K28" s="30">
        <v>50000</v>
      </c>
      <c r="L28" s="30">
        <v>15555.56</v>
      </c>
      <c r="M28" s="30">
        <v>0</v>
      </c>
    </row>
    <row r="29" spans="1:13" ht="15" x14ac:dyDescent="0.2">
      <c r="A29" s="16" t="str">
        <f>'Block of Business'!A29</f>
        <v>Client # 28</v>
      </c>
      <c r="B29" s="19">
        <v>288000</v>
      </c>
      <c r="C29" s="7">
        <v>40</v>
      </c>
      <c r="D29" s="7">
        <v>110</v>
      </c>
      <c r="F29" s="26" t="s">
        <v>154</v>
      </c>
      <c r="G29" s="30">
        <v>30000</v>
      </c>
      <c r="H29" s="30">
        <v>605000</v>
      </c>
      <c r="I29" s="30">
        <v>165600</v>
      </c>
      <c r="J29" s="30">
        <v>726000</v>
      </c>
      <c r="K29" s="30">
        <v>50000</v>
      </c>
      <c r="L29" s="30">
        <v>10555.56</v>
      </c>
      <c r="M29" s="30">
        <v>30000</v>
      </c>
    </row>
    <row r="30" spans="1:13" ht="15" x14ac:dyDescent="0.2">
      <c r="A30" s="16" t="str">
        <f>'Block of Business'!A30</f>
        <v>Client # 29</v>
      </c>
      <c r="B30" s="19">
        <v>240000</v>
      </c>
      <c r="C30" s="7">
        <v>8</v>
      </c>
      <c r="D30" s="7">
        <v>60</v>
      </c>
      <c r="F30" s="26" t="s">
        <v>155</v>
      </c>
      <c r="G30" s="30">
        <v>30000</v>
      </c>
      <c r="H30" s="30">
        <v>565000</v>
      </c>
      <c r="I30" s="30">
        <v>165600</v>
      </c>
      <c r="J30" s="30">
        <v>735000</v>
      </c>
      <c r="K30" s="30">
        <v>50000</v>
      </c>
      <c r="L30" s="30">
        <v>5555.56</v>
      </c>
      <c r="M30" s="30">
        <v>0</v>
      </c>
    </row>
    <row r="31" spans="1:13" ht="15" x14ac:dyDescent="0.2">
      <c r="A31" s="16" t="str">
        <f>'Block of Business'!A31</f>
        <v>Client # 30</v>
      </c>
      <c r="B31" s="19">
        <v>120000</v>
      </c>
      <c r="C31" s="7">
        <v>8</v>
      </c>
      <c r="D31" s="7">
        <v>73</v>
      </c>
      <c r="F31" s="26" t="s">
        <v>156</v>
      </c>
      <c r="G31" s="30">
        <v>30000</v>
      </c>
      <c r="H31" s="30">
        <v>579000</v>
      </c>
      <c r="I31" s="30">
        <v>165600</v>
      </c>
      <c r="J31" s="30">
        <v>744000</v>
      </c>
      <c r="K31" s="30">
        <v>25000</v>
      </c>
      <c r="L31" s="30">
        <v>5555.56</v>
      </c>
      <c r="M31" s="30">
        <v>30000</v>
      </c>
    </row>
    <row r="32" spans="1:13" ht="15" x14ac:dyDescent="0.2">
      <c r="A32" s="16" t="str">
        <f>'Block of Business'!A32</f>
        <v>Client # 31</v>
      </c>
      <c r="B32" s="19">
        <v>285000</v>
      </c>
      <c r="C32" s="7">
        <v>19</v>
      </c>
      <c r="D32" s="7">
        <v>63</v>
      </c>
      <c r="F32" s="26" t="s">
        <v>157</v>
      </c>
      <c r="G32" s="30">
        <v>30000</v>
      </c>
      <c r="H32" s="30">
        <v>593000</v>
      </c>
      <c r="I32" s="30">
        <v>165600</v>
      </c>
      <c r="J32" s="30">
        <v>753000</v>
      </c>
      <c r="K32" s="30">
        <v>25000</v>
      </c>
      <c r="L32" s="30">
        <v>5555.48</v>
      </c>
      <c r="M32" s="30">
        <v>0</v>
      </c>
    </row>
    <row r="33" spans="1:13" ht="15" x14ac:dyDescent="0.2">
      <c r="A33" s="16" t="str">
        <f>'Block of Business'!A33</f>
        <v>Client # 32</v>
      </c>
      <c r="B33" s="19">
        <v>90000</v>
      </c>
      <c r="C33" s="7">
        <v>6</v>
      </c>
      <c r="D33" s="7">
        <v>74</v>
      </c>
      <c r="F33" s="26" t="s">
        <v>158</v>
      </c>
      <c r="G33" s="30">
        <v>30000</v>
      </c>
      <c r="H33" s="30">
        <v>607000</v>
      </c>
      <c r="I33" s="30">
        <v>165600</v>
      </c>
      <c r="J33" s="30">
        <v>762000</v>
      </c>
      <c r="K33" s="30">
        <v>0</v>
      </c>
      <c r="L33" s="30">
        <v>0</v>
      </c>
      <c r="M33" s="30">
        <v>30000</v>
      </c>
    </row>
    <row r="34" spans="1:13" ht="15" x14ac:dyDescent="0.2">
      <c r="A34" s="16" t="str">
        <f>'Block of Business'!A34</f>
        <v>Client # 33</v>
      </c>
      <c r="B34" s="19">
        <v>285000</v>
      </c>
      <c r="C34" s="7">
        <v>19</v>
      </c>
      <c r="D34" s="7">
        <v>61</v>
      </c>
      <c r="F34" s="26" t="s">
        <v>159</v>
      </c>
      <c r="G34" s="30">
        <v>0</v>
      </c>
      <c r="H34" s="30">
        <v>566000</v>
      </c>
      <c r="I34" s="30">
        <v>165600</v>
      </c>
      <c r="J34" s="30">
        <v>771000</v>
      </c>
      <c r="K34" s="30">
        <v>0</v>
      </c>
      <c r="L34" s="30">
        <v>0</v>
      </c>
      <c r="M34" s="30">
        <v>0</v>
      </c>
    </row>
    <row r="35" spans="1:13" ht="15" x14ac:dyDescent="0.2">
      <c r="A35" s="16" t="str">
        <f>'Block of Business'!A35</f>
        <v>Client # 34</v>
      </c>
      <c r="B35" s="19">
        <v>113000</v>
      </c>
      <c r="C35" s="7">
        <v>5</v>
      </c>
      <c r="D35" s="7">
        <v>61</v>
      </c>
      <c r="F35" s="26" t="s">
        <v>160</v>
      </c>
      <c r="G35" s="30">
        <v>0</v>
      </c>
      <c r="H35" s="30">
        <v>579000</v>
      </c>
      <c r="I35" s="30">
        <v>165600</v>
      </c>
      <c r="J35" s="30">
        <v>780000</v>
      </c>
      <c r="K35" s="30">
        <v>0</v>
      </c>
      <c r="L35" s="30">
        <v>0</v>
      </c>
      <c r="M35" s="30">
        <v>0</v>
      </c>
    </row>
    <row r="36" spans="1:13" ht="15" x14ac:dyDescent="0.2">
      <c r="A36" s="16" t="str">
        <f>'Block of Business'!A36</f>
        <v>Client # 35</v>
      </c>
      <c r="B36" s="19">
        <v>300000</v>
      </c>
      <c r="C36" s="7">
        <v>20</v>
      </c>
      <c r="D36" s="7">
        <v>88</v>
      </c>
      <c r="F36" s="26" t="s">
        <v>161</v>
      </c>
      <c r="G36" s="30">
        <v>0</v>
      </c>
      <c r="H36" s="30">
        <v>592000</v>
      </c>
      <c r="I36" s="30">
        <v>165600</v>
      </c>
      <c r="J36" s="30">
        <v>789000</v>
      </c>
      <c r="K36" s="30">
        <v>0</v>
      </c>
      <c r="L36" s="30">
        <v>0</v>
      </c>
      <c r="M36" s="30">
        <v>0</v>
      </c>
    </row>
    <row r="37" spans="1:13" ht="15" x14ac:dyDescent="0.2">
      <c r="A37" s="16" t="str">
        <f>'Block of Business'!A37</f>
        <v>Client # 36</v>
      </c>
      <c r="B37" s="19">
        <v>255000</v>
      </c>
      <c r="C37" s="7">
        <v>17</v>
      </c>
      <c r="D37" s="7">
        <v>85</v>
      </c>
      <c r="F37" s="26" t="s">
        <v>162</v>
      </c>
      <c r="G37" s="30">
        <v>0</v>
      </c>
      <c r="H37" s="30">
        <v>550000</v>
      </c>
      <c r="I37" s="30">
        <v>165600</v>
      </c>
      <c r="J37" s="30">
        <v>798000</v>
      </c>
      <c r="K37" s="30">
        <v>0</v>
      </c>
      <c r="L37" s="30">
        <v>0</v>
      </c>
      <c r="M37" s="30">
        <v>0</v>
      </c>
    </row>
    <row r="38" spans="1:13" ht="15" x14ac:dyDescent="0.2">
      <c r="A38" s="16" t="str">
        <f>'Block of Business'!A38</f>
        <v>Client # 37</v>
      </c>
      <c r="B38" s="19">
        <v>1185000</v>
      </c>
      <c r="C38" s="7">
        <v>30</v>
      </c>
      <c r="D38" s="7">
        <v>94</v>
      </c>
      <c r="F38" s="26" t="s">
        <v>163</v>
      </c>
      <c r="G38" s="30">
        <v>0</v>
      </c>
      <c r="H38" s="30">
        <v>562000</v>
      </c>
      <c r="I38" s="30">
        <v>165600</v>
      </c>
      <c r="J38" s="30">
        <v>807000</v>
      </c>
      <c r="K38" s="30">
        <v>0</v>
      </c>
      <c r="L38" s="30">
        <v>0</v>
      </c>
      <c r="M38" s="30">
        <v>0</v>
      </c>
    </row>
    <row r="39" spans="1:13" ht="15" x14ac:dyDescent="0.2">
      <c r="A39" s="16" t="str">
        <f>'Block of Business'!A39</f>
        <v>Client # 38</v>
      </c>
      <c r="B39" s="19">
        <v>1134000</v>
      </c>
      <c r="C39" s="7">
        <v>28</v>
      </c>
      <c r="D39" s="7">
        <v>94</v>
      </c>
      <c r="F39" s="26" t="s">
        <v>164</v>
      </c>
      <c r="G39" s="30">
        <v>0</v>
      </c>
      <c r="H39" s="30">
        <v>409000</v>
      </c>
      <c r="I39" s="30">
        <v>165600</v>
      </c>
      <c r="J39" s="30">
        <v>715000</v>
      </c>
      <c r="K39" s="30">
        <v>0</v>
      </c>
      <c r="L39" s="30">
        <v>0</v>
      </c>
      <c r="M39" s="30">
        <v>0</v>
      </c>
    </row>
    <row r="40" spans="1:13" ht="15" x14ac:dyDescent="0.2">
      <c r="A40" s="16" t="str">
        <f>'Block of Business'!A40</f>
        <v>Client # 39</v>
      </c>
      <c r="B40" s="19">
        <v>280800</v>
      </c>
      <c r="C40" s="7">
        <v>39</v>
      </c>
      <c r="D40" s="7">
        <v>110</v>
      </c>
      <c r="F40" s="26" t="s">
        <v>165</v>
      </c>
      <c r="G40" s="30">
        <v>0</v>
      </c>
      <c r="H40" s="30">
        <v>418000</v>
      </c>
      <c r="I40" s="30">
        <v>165600</v>
      </c>
      <c r="J40" s="30">
        <v>723000</v>
      </c>
      <c r="K40" s="30">
        <v>0</v>
      </c>
      <c r="L40" s="30">
        <v>0</v>
      </c>
      <c r="M40" s="30">
        <v>0</v>
      </c>
    </row>
    <row r="41" spans="1:13" ht="15" x14ac:dyDescent="0.2">
      <c r="A41" s="16" t="str">
        <f>'Block of Business'!A41</f>
        <v>Client # 40</v>
      </c>
      <c r="B41" s="19">
        <v>90000</v>
      </c>
      <c r="C41" s="7">
        <v>6</v>
      </c>
      <c r="D41" s="7">
        <v>83</v>
      </c>
      <c r="F41" s="26" t="s">
        <v>166</v>
      </c>
      <c r="G41" s="30">
        <v>0</v>
      </c>
      <c r="H41" s="30">
        <v>372000</v>
      </c>
      <c r="I41" s="30">
        <v>165600</v>
      </c>
      <c r="J41" s="30">
        <v>731000</v>
      </c>
      <c r="K41" s="30">
        <v>0</v>
      </c>
      <c r="L41" s="30">
        <v>0</v>
      </c>
      <c r="M41" s="30">
        <v>0</v>
      </c>
    </row>
    <row r="42" spans="1:13" ht="15" x14ac:dyDescent="0.2">
      <c r="A42" s="16" t="str">
        <f>'Block of Business'!A42</f>
        <v>Client # 41</v>
      </c>
      <c r="B42" s="19">
        <v>1185000</v>
      </c>
      <c r="C42" s="7">
        <v>30</v>
      </c>
      <c r="D42" s="7">
        <v>94</v>
      </c>
      <c r="F42" s="26" t="s">
        <v>167</v>
      </c>
      <c r="G42" s="30">
        <v>0</v>
      </c>
      <c r="H42" s="30">
        <v>380000</v>
      </c>
      <c r="I42" s="30">
        <v>165600</v>
      </c>
      <c r="J42" s="30">
        <v>739000</v>
      </c>
      <c r="K42" s="30">
        <v>0</v>
      </c>
      <c r="L42" s="30">
        <v>0</v>
      </c>
      <c r="M42" s="30">
        <v>0</v>
      </c>
    </row>
    <row r="43" spans="1:13" ht="15" x14ac:dyDescent="0.2">
      <c r="A43" s="16" t="str">
        <f>'Block of Business'!A43</f>
        <v>Client # 42</v>
      </c>
      <c r="B43" s="19">
        <v>1185000</v>
      </c>
      <c r="C43" s="7">
        <v>30</v>
      </c>
      <c r="D43" s="7">
        <v>94</v>
      </c>
      <c r="F43" s="26" t="s">
        <v>168</v>
      </c>
      <c r="G43" s="30">
        <v>0</v>
      </c>
      <c r="H43" s="30">
        <v>333000</v>
      </c>
      <c r="I43" s="30">
        <v>158400</v>
      </c>
      <c r="J43" s="30">
        <v>747000</v>
      </c>
      <c r="K43" s="30">
        <v>0</v>
      </c>
      <c r="L43" s="30">
        <v>0</v>
      </c>
      <c r="M43" s="30">
        <v>0</v>
      </c>
    </row>
    <row r="44" spans="1:13" ht="15" x14ac:dyDescent="0.2">
      <c r="A44" s="16" t="str">
        <f>'Block of Business'!A44</f>
        <v>Client # 43</v>
      </c>
      <c r="B44" s="19">
        <v>90000</v>
      </c>
      <c r="C44" s="7">
        <v>3</v>
      </c>
      <c r="D44" s="7">
        <v>63</v>
      </c>
      <c r="F44" s="26" t="s">
        <v>169</v>
      </c>
      <c r="G44" s="30">
        <v>0</v>
      </c>
      <c r="H44" s="30">
        <v>340000</v>
      </c>
      <c r="I44" s="30">
        <v>158400</v>
      </c>
      <c r="J44" s="30">
        <v>755000</v>
      </c>
      <c r="K44" s="30">
        <v>0</v>
      </c>
      <c r="L44" s="30">
        <v>0</v>
      </c>
      <c r="M44" s="30">
        <v>0</v>
      </c>
    </row>
    <row r="45" spans="1:13" ht="15" x14ac:dyDescent="0.2">
      <c r="A45" s="16" t="str">
        <f>'Block of Business'!A45</f>
        <v>Client # 44</v>
      </c>
      <c r="B45" s="19">
        <v>100000</v>
      </c>
      <c r="C45" s="7">
        <v>20</v>
      </c>
      <c r="D45" s="7">
        <v>71</v>
      </c>
      <c r="F45" s="26" t="s">
        <v>170</v>
      </c>
      <c r="G45" s="30">
        <v>0</v>
      </c>
      <c r="H45" s="30">
        <v>292000</v>
      </c>
      <c r="I45" s="30">
        <v>144000</v>
      </c>
      <c r="J45" s="30">
        <v>662000</v>
      </c>
      <c r="K45" s="30">
        <v>0</v>
      </c>
      <c r="L45" s="30">
        <v>0</v>
      </c>
      <c r="M45" s="30">
        <v>0</v>
      </c>
    </row>
    <row r="46" spans="1:13" ht="15" x14ac:dyDescent="0.2">
      <c r="A46" s="16" t="str">
        <f>'Block of Business'!A46</f>
        <v>Client # 45</v>
      </c>
      <c r="B46" s="19">
        <v>3280000</v>
      </c>
      <c r="C46" s="7">
        <v>41</v>
      </c>
      <c r="D46" s="7">
        <v>100</v>
      </c>
      <c r="F46" s="26" t="s">
        <v>171</v>
      </c>
      <c r="G46" s="30">
        <v>0</v>
      </c>
      <c r="H46" s="30">
        <v>298000</v>
      </c>
      <c r="I46" s="30">
        <v>136800</v>
      </c>
      <c r="J46" s="30">
        <v>669000</v>
      </c>
      <c r="K46" s="30">
        <v>0</v>
      </c>
      <c r="L46" s="30">
        <v>0</v>
      </c>
      <c r="M46" s="30">
        <v>0</v>
      </c>
    </row>
    <row r="47" spans="1:13" ht="15" x14ac:dyDescent="0.2">
      <c r="A47" s="16" t="str">
        <f>'Block of Business'!A47</f>
        <v>Client # 46</v>
      </c>
      <c r="B47" s="19">
        <v>180000</v>
      </c>
      <c r="C47" s="7">
        <v>6</v>
      </c>
      <c r="D47" s="7">
        <v>73</v>
      </c>
      <c r="F47" s="26" t="s">
        <v>172</v>
      </c>
      <c r="G47" s="30">
        <v>0</v>
      </c>
      <c r="H47" s="30">
        <v>304000</v>
      </c>
      <c r="I47" s="30">
        <v>122400</v>
      </c>
      <c r="J47" s="30">
        <v>575000</v>
      </c>
      <c r="K47" s="30">
        <v>0</v>
      </c>
      <c r="L47" s="30">
        <v>0</v>
      </c>
      <c r="M47" s="30">
        <v>0</v>
      </c>
    </row>
    <row r="48" spans="1:13" ht="15" x14ac:dyDescent="0.2">
      <c r="A48" s="16" t="str">
        <f>'Block of Business'!A48</f>
        <v>Client # 47</v>
      </c>
      <c r="B48" s="19">
        <v>100000</v>
      </c>
      <c r="C48" s="7">
        <v>5</v>
      </c>
      <c r="D48" s="7">
        <v>61</v>
      </c>
      <c r="F48" s="26" t="s">
        <v>173</v>
      </c>
      <c r="G48" s="30">
        <v>0</v>
      </c>
      <c r="H48" s="30">
        <v>200000</v>
      </c>
      <c r="I48" s="30">
        <v>122400</v>
      </c>
      <c r="J48" s="30">
        <v>480000</v>
      </c>
      <c r="K48" s="30">
        <v>0</v>
      </c>
      <c r="L48" s="30">
        <v>0</v>
      </c>
      <c r="M48" s="30">
        <v>0</v>
      </c>
    </row>
    <row r="49" spans="1:13" ht="15" x14ac:dyDescent="0.2">
      <c r="A49" s="16" t="str">
        <f>'Block of Business'!A49</f>
        <v>Client # 48</v>
      </c>
      <c r="B49" s="19">
        <v>1185000</v>
      </c>
      <c r="C49" s="7">
        <v>30</v>
      </c>
      <c r="D49" s="7">
        <v>94</v>
      </c>
      <c r="F49" s="26" t="s">
        <v>174</v>
      </c>
      <c r="G49" s="30">
        <v>0</v>
      </c>
      <c r="H49" s="30">
        <v>204000</v>
      </c>
      <c r="I49" s="30">
        <v>122400</v>
      </c>
      <c r="J49" s="30">
        <v>485000</v>
      </c>
      <c r="K49" s="30">
        <v>0</v>
      </c>
      <c r="L49" s="30">
        <v>0</v>
      </c>
      <c r="M49" s="30">
        <v>0</v>
      </c>
    </row>
    <row r="50" spans="1:13" ht="15" x14ac:dyDescent="0.2">
      <c r="A50" s="16" t="str">
        <f>'Block of Business'!A50</f>
        <v>Client # 49</v>
      </c>
      <c r="B50" s="19">
        <v>99999.999999999971</v>
      </c>
      <c r="C50" s="7">
        <v>18</v>
      </c>
      <c r="D50" s="7">
        <v>90</v>
      </c>
      <c r="F50" s="26" t="s">
        <v>175</v>
      </c>
      <c r="G50" s="30">
        <v>0</v>
      </c>
      <c r="H50" s="30">
        <v>153000</v>
      </c>
      <c r="I50" s="30">
        <v>108000</v>
      </c>
      <c r="J50" s="30">
        <v>389000</v>
      </c>
      <c r="K50" s="30">
        <v>0</v>
      </c>
      <c r="L50" s="30">
        <v>0</v>
      </c>
      <c r="M50" s="30">
        <v>0</v>
      </c>
    </row>
    <row r="51" spans="1:13" ht="15" x14ac:dyDescent="0.2">
      <c r="A51" s="16" t="str">
        <f>'Block of Business'!A51</f>
        <v>Client # 50</v>
      </c>
      <c r="B51" s="19">
        <v>240000</v>
      </c>
      <c r="C51" s="7">
        <v>8</v>
      </c>
      <c r="D51" s="7">
        <v>74</v>
      </c>
      <c r="F51" s="26" t="s">
        <v>176</v>
      </c>
      <c r="G51" s="30">
        <v>0</v>
      </c>
      <c r="H51" s="30">
        <v>101000</v>
      </c>
      <c r="I51" s="30">
        <v>108000</v>
      </c>
      <c r="J51" s="30">
        <v>393000</v>
      </c>
      <c r="K51" s="30">
        <v>0</v>
      </c>
      <c r="L51" s="30">
        <v>0</v>
      </c>
      <c r="M51" s="30">
        <v>0</v>
      </c>
    </row>
    <row r="52" spans="1:13" ht="15" x14ac:dyDescent="0.2">
      <c r="A52" s="16" t="str">
        <f>'Block of Business'!A52</f>
        <v>Client # 51</v>
      </c>
      <c r="B52" s="19">
        <v>396000</v>
      </c>
      <c r="C52" s="7">
        <v>18</v>
      </c>
      <c r="D52" s="7">
        <v>72</v>
      </c>
      <c r="F52" s="26" t="s">
        <v>177</v>
      </c>
      <c r="G52" s="30">
        <v>0</v>
      </c>
      <c r="H52" s="30">
        <v>103000</v>
      </c>
      <c r="I52" s="30">
        <v>100800</v>
      </c>
      <c r="J52" s="30">
        <v>296000</v>
      </c>
      <c r="K52" s="30">
        <v>0</v>
      </c>
      <c r="L52" s="30">
        <v>0</v>
      </c>
      <c r="M52" s="30">
        <v>0</v>
      </c>
    </row>
    <row r="53" spans="1:13" ht="15" x14ac:dyDescent="0.2">
      <c r="A53" s="16" t="str">
        <f>'Block of Business'!A53</f>
        <v>Client # 52</v>
      </c>
      <c r="B53" s="19">
        <v>237600</v>
      </c>
      <c r="C53" s="7">
        <v>33</v>
      </c>
      <c r="D53" s="7">
        <v>110</v>
      </c>
      <c r="F53" s="26" t="s">
        <v>178</v>
      </c>
      <c r="G53" s="30">
        <v>0</v>
      </c>
      <c r="H53" s="30">
        <v>105000</v>
      </c>
      <c r="I53" s="30">
        <v>100800</v>
      </c>
      <c r="J53" s="30">
        <v>97000</v>
      </c>
      <c r="K53" s="30">
        <v>0</v>
      </c>
      <c r="L53" s="30">
        <v>0</v>
      </c>
      <c r="M53" s="30">
        <v>0</v>
      </c>
    </row>
    <row r="54" spans="1:13" ht="15" x14ac:dyDescent="0.2">
      <c r="A54" s="16" t="str">
        <f>'Block of Business'!A54</f>
        <v>Client # 53</v>
      </c>
      <c r="B54" s="19">
        <v>439200</v>
      </c>
      <c r="C54" s="7">
        <v>61</v>
      </c>
      <c r="D54" s="7">
        <v>110</v>
      </c>
      <c r="F54" s="26" t="s">
        <v>179</v>
      </c>
      <c r="G54" s="30">
        <v>0</v>
      </c>
      <c r="H54" s="30">
        <v>107000</v>
      </c>
      <c r="I54" s="30">
        <v>100800</v>
      </c>
      <c r="J54" s="30">
        <v>98000</v>
      </c>
      <c r="K54" s="30">
        <v>0</v>
      </c>
      <c r="L54" s="30">
        <v>0</v>
      </c>
      <c r="M54" s="30">
        <v>0</v>
      </c>
    </row>
    <row r="55" spans="1:13" ht="15" x14ac:dyDescent="0.2">
      <c r="A55" s="16" t="str">
        <f>'Block of Business'!A55</f>
        <v>Client # 54</v>
      </c>
      <c r="B55" s="19">
        <v>180000</v>
      </c>
      <c r="C55" s="7">
        <v>12</v>
      </c>
      <c r="D55" s="7">
        <v>66</v>
      </c>
      <c r="F55" s="26" t="s">
        <v>180</v>
      </c>
      <c r="G55" s="30">
        <v>0</v>
      </c>
      <c r="H55" s="30">
        <v>54000</v>
      </c>
      <c r="I55" s="30">
        <v>93600</v>
      </c>
      <c r="J55" s="30">
        <v>99000</v>
      </c>
      <c r="K55" s="30">
        <v>0</v>
      </c>
      <c r="L55" s="30">
        <v>0</v>
      </c>
      <c r="M55" s="30">
        <v>0</v>
      </c>
    </row>
    <row r="56" spans="1:13" ht="15" x14ac:dyDescent="0.2">
      <c r="A56" s="16" t="str">
        <f>'Block of Business'!A56</f>
        <v>Client # 55</v>
      </c>
      <c r="B56" s="19">
        <v>3280000</v>
      </c>
      <c r="C56" s="7">
        <v>41</v>
      </c>
      <c r="D56" s="7">
        <v>100</v>
      </c>
      <c r="F56" s="26" t="s">
        <v>181</v>
      </c>
      <c r="G56" s="30">
        <v>0</v>
      </c>
      <c r="H56" s="30">
        <v>0</v>
      </c>
      <c r="I56" s="30">
        <v>79200</v>
      </c>
      <c r="J56" s="30">
        <v>100000</v>
      </c>
      <c r="K56" s="30">
        <v>0</v>
      </c>
      <c r="L56" s="30">
        <v>0</v>
      </c>
      <c r="M56" s="30">
        <v>0</v>
      </c>
    </row>
    <row r="57" spans="1:13" ht="15" x14ac:dyDescent="0.2">
      <c r="A57" s="16" t="str">
        <f>'Block of Business'!A57</f>
        <v>Client # 56</v>
      </c>
      <c r="B57" s="19">
        <v>1185000</v>
      </c>
      <c r="C57" s="7">
        <v>30</v>
      </c>
      <c r="D57" s="7">
        <v>94</v>
      </c>
      <c r="F57" s="26" t="s">
        <v>182</v>
      </c>
      <c r="G57" s="30">
        <v>0</v>
      </c>
      <c r="H57" s="30">
        <v>0</v>
      </c>
      <c r="I57" s="30">
        <v>79200</v>
      </c>
      <c r="J57" s="30">
        <v>0</v>
      </c>
      <c r="K57" s="30">
        <v>0</v>
      </c>
      <c r="L57" s="30">
        <v>0</v>
      </c>
      <c r="M57" s="30">
        <v>0</v>
      </c>
    </row>
    <row r="58" spans="1:13" ht="15" x14ac:dyDescent="0.2">
      <c r="A58" s="16" t="str">
        <f>'Block of Business'!A58</f>
        <v>Client # 57</v>
      </c>
      <c r="B58" s="19">
        <v>237600</v>
      </c>
      <c r="C58" s="7">
        <v>33</v>
      </c>
      <c r="D58" s="7">
        <v>110</v>
      </c>
      <c r="F58" s="26" t="s">
        <v>183</v>
      </c>
      <c r="G58" s="30">
        <v>0</v>
      </c>
      <c r="H58" s="30">
        <v>0</v>
      </c>
      <c r="I58" s="30">
        <v>72000</v>
      </c>
      <c r="J58" s="30">
        <v>0</v>
      </c>
      <c r="K58" s="30">
        <v>0</v>
      </c>
      <c r="L58" s="30">
        <v>0</v>
      </c>
      <c r="M58" s="30">
        <v>0</v>
      </c>
    </row>
    <row r="59" spans="1:13" ht="15" x14ac:dyDescent="0.2">
      <c r="A59" s="16" t="str">
        <f>'Block of Business'!A59</f>
        <v>Client # 58</v>
      </c>
      <c r="B59" s="19">
        <v>338400</v>
      </c>
      <c r="C59" s="7">
        <v>47</v>
      </c>
      <c r="D59" s="7">
        <v>110</v>
      </c>
      <c r="F59" s="26" t="s">
        <v>184</v>
      </c>
      <c r="G59" s="30">
        <v>0</v>
      </c>
      <c r="H59" s="30">
        <v>0</v>
      </c>
      <c r="I59" s="30">
        <v>72000</v>
      </c>
      <c r="J59" s="30">
        <v>0</v>
      </c>
      <c r="K59" s="30">
        <v>0</v>
      </c>
      <c r="L59" s="30">
        <v>0</v>
      </c>
      <c r="M59" s="30">
        <v>0</v>
      </c>
    </row>
    <row r="60" spans="1:13" ht="15" x14ac:dyDescent="0.2">
      <c r="A60" s="16" t="str">
        <f>'Block of Business'!A60</f>
        <v>Client # 59</v>
      </c>
      <c r="B60" s="19">
        <v>3280000</v>
      </c>
      <c r="C60" s="7">
        <v>41</v>
      </c>
      <c r="D60" s="7">
        <v>100</v>
      </c>
      <c r="F60" s="26" t="s">
        <v>185</v>
      </c>
      <c r="G60" s="30">
        <v>0</v>
      </c>
      <c r="H60" s="30">
        <v>0</v>
      </c>
      <c r="I60" s="30">
        <v>64800</v>
      </c>
      <c r="J60" s="30">
        <v>0</v>
      </c>
      <c r="K60" s="30">
        <v>0</v>
      </c>
      <c r="L60" s="30">
        <v>0</v>
      </c>
      <c r="M60" s="30">
        <v>0</v>
      </c>
    </row>
    <row r="61" spans="1:13" ht="15" x14ac:dyDescent="0.2">
      <c r="A61" s="16" t="str">
        <f>'Block of Business'!A61</f>
        <v>Client # 60</v>
      </c>
      <c r="B61" s="19">
        <v>180000</v>
      </c>
      <c r="C61" s="7">
        <v>12</v>
      </c>
      <c r="D61" s="7">
        <v>62</v>
      </c>
      <c r="F61" s="26" t="s">
        <v>186</v>
      </c>
      <c r="G61" s="30">
        <v>0</v>
      </c>
      <c r="H61" s="30">
        <v>0</v>
      </c>
      <c r="I61" s="30">
        <v>64800</v>
      </c>
      <c r="J61" s="30">
        <v>0</v>
      </c>
      <c r="K61" s="30">
        <v>0</v>
      </c>
      <c r="L61" s="30">
        <v>0</v>
      </c>
      <c r="M61" s="30">
        <v>0</v>
      </c>
    </row>
    <row r="62" spans="1:13" ht="15" x14ac:dyDescent="0.2">
      <c r="A62" s="16" t="str">
        <f>'Block of Business'!A62</f>
        <v>Client # 61</v>
      </c>
      <c r="B62" s="19">
        <v>255000</v>
      </c>
      <c r="C62" s="7">
        <v>17</v>
      </c>
      <c r="D62" s="7">
        <v>79</v>
      </c>
      <c r="F62" s="26" t="s">
        <v>187</v>
      </c>
      <c r="G62" s="30">
        <v>0</v>
      </c>
      <c r="H62" s="30">
        <v>0</v>
      </c>
      <c r="I62" s="30">
        <v>50400</v>
      </c>
      <c r="J62" s="30">
        <v>0</v>
      </c>
      <c r="K62" s="30">
        <v>0</v>
      </c>
      <c r="L62" s="30">
        <v>0</v>
      </c>
      <c r="M62" s="30">
        <v>0</v>
      </c>
    </row>
    <row r="63" spans="1:13" ht="15" x14ac:dyDescent="0.2">
      <c r="A63" s="16" t="str">
        <f>'Block of Business'!A63</f>
        <v>Client # 62</v>
      </c>
      <c r="B63" s="19">
        <v>270000</v>
      </c>
      <c r="C63" s="7">
        <v>9</v>
      </c>
      <c r="D63" s="7">
        <v>73</v>
      </c>
      <c r="F63" s="26" t="s">
        <v>188</v>
      </c>
      <c r="G63" s="30">
        <v>0</v>
      </c>
      <c r="H63" s="30">
        <v>0</v>
      </c>
      <c r="I63" s="30">
        <v>50400</v>
      </c>
      <c r="J63" s="30">
        <v>0</v>
      </c>
      <c r="K63" s="30">
        <v>0</v>
      </c>
      <c r="L63" s="30">
        <v>0</v>
      </c>
      <c r="M63" s="30">
        <v>0</v>
      </c>
    </row>
    <row r="64" spans="1:13" ht="15" x14ac:dyDescent="0.2">
      <c r="A64" s="16" t="str">
        <f>'Block of Business'!A64</f>
        <v>Client # 63</v>
      </c>
      <c r="B64" s="19">
        <v>3280000</v>
      </c>
      <c r="C64" s="7">
        <v>41</v>
      </c>
      <c r="D64" s="7">
        <v>100</v>
      </c>
      <c r="F64" s="26" t="s">
        <v>189</v>
      </c>
      <c r="G64" s="30">
        <v>0</v>
      </c>
      <c r="H64" s="30">
        <v>0</v>
      </c>
      <c r="I64" s="30">
        <v>43200</v>
      </c>
      <c r="J64" s="30">
        <v>0</v>
      </c>
      <c r="K64" s="30">
        <v>0</v>
      </c>
      <c r="L64" s="30">
        <v>0</v>
      </c>
      <c r="M64" s="30">
        <v>0</v>
      </c>
    </row>
    <row r="65" spans="1:13" ht="15" x14ac:dyDescent="0.2">
      <c r="A65" s="16" t="str">
        <f>'Block of Business'!A65</f>
        <v>Client # 64</v>
      </c>
      <c r="B65" s="19">
        <v>1185000</v>
      </c>
      <c r="C65" s="7">
        <v>30</v>
      </c>
      <c r="D65" s="7">
        <v>94</v>
      </c>
      <c r="F65" s="26" t="s">
        <v>190</v>
      </c>
      <c r="G65" s="30">
        <v>0</v>
      </c>
      <c r="H65" s="30">
        <v>0</v>
      </c>
      <c r="I65" s="30">
        <v>36000</v>
      </c>
      <c r="J65" s="30">
        <v>0</v>
      </c>
      <c r="K65" s="30">
        <v>0</v>
      </c>
      <c r="L65" s="30">
        <v>0</v>
      </c>
      <c r="M65" s="30">
        <v>0</v>
      </c>
    </row>
    <row r="66" spans="1:13" ht="15" x14ac:dyDescent="0.2">
      <c r="A66" s="16" t="str">
        <f>'Block of Business'!A66</f>
        <v>Client # 65</v>
      </c>
      <c r="B66" s="19">
        <v>300000</v>
      </c>
      <c r="C66" s="7">
        <v>20</v>
      </c>
      <c r="D66" s="7">
        <v>85</v>
      </c>
      <c r="F66" s="26" t="s">
        <v>191</v>
      </c>
      <c r="G66" s="30">
        <v>0</v>
      </c>
      <c r="H66" s="30">
        <v>0</v>
      </c>
      <c r="I66" s="30">
        <v>36000</v>
      </c>
      <c r="J66" s="30">
        <v>0</v>
      </c>
      <c r="K66" s="30">
        <v>0</v>
      </c>
      <c r="L66" s="30">
        <v>0</v>
      </c>
      <c r="M66" s="30">
        <v>0</v>
      </c>
    </row>
    <row r="67" spans="1:13" ht="15" x14ac:dyDescent="0.2">
      <c r="A67" s="16" t="str">
        <f>'Block of Business'!A67</f>
        <v>Client # 66</v>
      </c>
      <c r="B67" s="19">
        <v>120000</v>
      </c>
      <c r="C67" s="7">
        <v>4</v>
      </c>
      <c r="D67" s="7">
        <v>63</v>
      </c>
      <c r="F67" s="26" t="s">
        <v>192</v>
      </c>
      <c r="G67" s="30">
        <v>0</v>
      </c>
      <c r="H67" s="30">
        <v>0</v>
      </c>
      <c r="I67" s="30">
        <v>36000</v>
      </c>
      <c r="J67" s="30">
        <v>0</v>
      </c>
      <c r="K67" s="30">
        <v>0</v>
      </c>
      <c r="L67" s="30">
        <v>0</v>
      </c>
      <c r="M67" s="30">
        <v>0</v>
      </c>
    </row>
    <row r="68" spans="1:13" ht="15" x14ac:dyDescent="0.2">
      <c r="A68" s="16" t="str">
        <f>'Block of Business'!A68</f>
        <v>Client # 67</v>
      </c>
      <c r="B68" s="19">
        <v>1185000</v>
      </c>
      <c r="C68" s="7">
        <v>30</v>
      </c>
      <c r="D68" s="7">
        <v>94</v>
      </c>
      <c r="F68" s="26" t="s">
        <v>193</v>
      </c>
      <c r="G68" s="30">
        <v>0</v>
      </c>
      <c r="H68" s="30">
        <v>0</v>
      </c>
      <c r="I68" s="30">
        <v>21600</v>
      </c>
      <c r="J68" s="30">
        <v>0</v>
      </c>
      <c r="K68" s="30">
        <v>0</v>
      </c>
      <c r="L68" s="30">
        <v>0</v>
      </c>
      <c r="M68" s="30">
        <v>0</v>
      </c>
    </row>
    <row r="69" spans="1:13" ht="15" x14ac:dyDescent="0.2">
      <c r="A69" s="16" t="str">
        <f>'Block of Business'!A69</f>
        <v>Client # 68</v>
      </c>
      <c r="B69" s="19">
        <v>1185000</v>
      </c>
      <c r="C69" s="7">
        <v>30</v>
      </c>
      <c r="D69" s="7">
        <v>94</v>
      </c>
      <c r="F69" s="26" t="s">
        <v>194</v>
      </c>
      <c r="G69" s="30">
        <v>0</v>
      </c>
      <c r="H69" s="30">
        <v>0</v>
      </c>
      <c r="I69" s="30">
        <v>21600</v>
      </c>
      <c r="J69" s="30">
        <v>0</v>
      </c>
      <c r="K69" s="30">
        <v>0</v>
      </c>
      <c r="L69" s="30">
        <v>0</v>
      </c>
      <c r="M69" s="30">
        <v>0</v>
      </c>
    </row>
    <row r="70" spans="1:13" ht="15" x14ac:dyDescent="0.2">
      <c r="A70" s="16" t="str">
        <f>'Block of Business'!A70</f>
        <v>Client # 69</v>
      </c>
      <c r="B70" s="19">
        <v>381600</v>
      </c>
      <c r="C70" s="7">
        <v>53</v>
      </c>
      <c r="D70" s="7">
        <v>110</v>
      </c>
      <c r="F70" s="26" t="s">
        <v>195</v>
      </c>
      <c r="G70" s="30">
        <v>0</v>
      </c>
      <c r="H70" s="30">
        <v>0</v>
      </c>
      <c r="I70" s="30">
        <v>21600</v>
      </c>
      <c r="J70" s="30">
        <v>0</v>
      </c>
      <c r="K70" s="30">
        <v>0</v>
      </c>
      <c r="L70" s="30">
        <v>0</v>
      </c>
      <c r="M70" s="30">
        <v>0</v>
      </c>
    </row>
    <row r="71" spans="1:13" ht="15" x14ac:dyDescent="0.2">
      <c r="A71" s="16" t="str">
        <f>'Block of Business'!A71</f>
        <v>Client # 70</v>
      </c>
      <c r="B71" s="19">
        <v>240000</v>
      </c>
      <c r="C71" s="7">
        <v>8</v>
      </c>
      <c r="D71" s="7">
        <v>64</v>
      </c>
      <c r="F71" s="26" t="s">
        <v>196</v>
      </c>
      <c r="G71" s="30">
        <v>0</v>
      </c>
      <c r="H71" s="30">
        <v>0</v>
      </c>
      <c r="I71" s="30">
        <v>21600</v>
      </c>
      <c r="J71" s="30">
        <v>0</v>
      </c>
      <c r="K71" s="30">
        <v>0</v>
      </c>
      <c r="L71" s="30">
        <v>0</v>
      </c>
      <c r="M71" s="30">
        <v>0</v>
      </c>
    </row>
    <row r="72" spans="1:13" ht="15" x14ac:dyDescent="0.2">
      <c r="A72" s="16" t="str">
        <f>'Block of Business'!A72</f>
        <v>Client # 71</v>
      </c>
      <c r="B72" s="19">
        <v>150000</v>
      </c>
      <c r="C72" s="7">
        <v>5</v>
      </c>
      <c r="D72" s="7">
        <v>54</v>
      </c>
      <c r="G72" s="33">
        <v>0</v>
      </c>
      <c r="H72" s="33">
        <v>0</v>
      </c>
      <c r="I72" s="33">
        <v>7200</v>
      </c>
      <c r="J72" s="33">
        <v>0</v>
      </c>
      <c r="K72" s="33">
        <v>0</v>
      </c>
      <c r="L72" s="33">
        <v>0</v>
      </c>
      <c r="M72" s="33">
        <v>0</v>
      </c>
    </row>
    <row r="73" spans="1:13" ht="15" x14ac:dyDescent="0.2">
      <c r="A73" s="16" t="str">
        <f>'Block of Business'!A73</f>
        <v>Client # 72</v>
      </c>
      <c r="B73" s="19">
        <v>210000</v>
      </c>
      <c r="C73" s="7">
        <v>14</v>
      </c>
      <c r="D73" s="7">
        <v>72</v>
      </c>
    </row>
    <row r="74" spans="1:13" ht="15" x14ac:dyDescent="0.2">
      <c r="A74" s="16" t="str">
        <f>'Block of Business'!A74</f>
        <v>Client # 73</v>
      </c>
      <c r="B74" s="19">
        <v>3280000</v>
      </c>
      <c r="C74" s="7">
        <v>41</v>
      </c>
      <c r="D74" s="7">
        <v>100</v>
      </c>
    </row>
    <row r="75" spans="1:13" ht="15" x14ac:dyDescent="0.2">
      <c r="A75" s="16" t="str">
        <f>'Block of Business'!A75</f>
        <v>Client # 74</v>
      </c>
      <c r="B75" s="19">
        <v>113000</v>
      </c>
      <c r="C75" s="7">
        <v>5</v>
      </c>
      <c r="D75" s="7">
        <v>76</v>
      </c>
    </row>
    <row r="76" spans="1:13" ht="15" x14ac:dyDescent="0.2">
      <c r="A76" s="16" t="str">
        <f>'Block of Business'!A76</f>
        <v>Client # 75</v>
      </c>
      <c r="B76" s="19">
        <v>338400</v>
      </c>
      <c r="C76" s="7">
        <v>47</v>
      </c>
      <c r="D76" s="7">
        <v>110</v>
      </c>
    </row>
    <row r="77" spans="1:13" ht="15" x14ac:dyDescent="0.2">
      <c r="A77" s="16" t="str">
        <f>'Block of Business'!A77</f>
        <v>Client # 76</v>
      </c>
      <c r="B77" s="19">
        <v>453600</v>
      </c>
      <c r="C77" s="7">
        <v>63</v>
      </c>
      <c r="D77" s="7">
        <v>110</v>
      </c>
    </row>
    <row r="78" spans="1:13" ht="15" x14ac:dyDescent="0.2">
      <c r="A78" s="16" t="str">
        <f>'Block of Business'!A78</f>
        <v>Client # 77</v>
      </c>
      <c r="B78" s="19">
        <v>165000</v>
      </c>
      <c r="C78" s="7">
        <v>11</v>
      </c>
      <c r="D78" s="7">
        <v>74</v>
      </c>
    </row>
    <row r="79" spans="1:13" ht="15" x14ac:dyDescent="0.2">
      <c r="A79" s="16" t="str">
        <f>'Block of Business'!A79</f>
        <v>Client # 78</v>
      </c>
      <c r="B79" s="19">
        <v>352800</v>
      </c>
      <c r="C79" s="7">
        <v>49</v>
      </c>
      <c r="D79" s="7">
        <v>110</v>
      </c>
    </row>
    <row r="80" spans="1:13" ht="15" x14ac:dyDescent="0.2">
      <c r="A80" s="16" t="str">
        <f>'Block of Business'!A80</f>
        <v>Client # 79</v>
      </c>
      <c r="B80" s="19">
        <v>1185000</v>
      </c>
      <c r="C80" s="7">
        <v>30</v>
      </c>
      <c r="D80" s="7">
        <v>94</v>
      </c>
    </row>
    <row r="81" spans="1:4" ht="15" x14ac:dyDescent="0.2">
      <c r="A81" s="16" t="str">
        <f>'Block of Business'!A81</f>
        <v>Client # 80</v>
      </c>
      <c r="B81" s="19">
        <v>324000</v>
      </c>
      <c r="C81" s="7">
        <v>45</v>
      </c>
      <c r="D81" s="7">
        <v>110</v>
      </c>
    </row>
    <row r="82" spans="1:4" ht="15" x14ac:dyDescent="0.2">
      <c r="A82" s="16" t="str">
        <f>'Block of Business'!A82</f>
        <v>Client # 81</v>
      </c>
      <c r="B82" s="19">
        <v>270000</v>
      </c>
      <c r="C82" s="7">
        <v>9</v>
      </c>
      <c r="D82" s="7">
        <v>84</v>
      </c>
    </row>
    <row r="83" spans="1:4" ht="15" x14ac:dyDescent="0.2">
      <c r="A83" s="16" t="str">
        <f>'Block of Business'!A83</f>
        <v>Client # 82</v>
      </c>
      <c r="B83" s="19">
        <v>295200</v>
      </c>
      <c r="C83" s="7">
        <v>41</v>
      </c>
      <c r="D83" s="7">
        <v>110</v>
      </c>
    </row>
    <row r="84" spans="1:4" ht="15" x14ac:dyDescent="0.2">
      <c r="A84" s="16" t="str">
        <f>'Block of Business'!A84</f>
        <v>Client # 83</v>
      </c>
      <c r="B84" s="19">
        <v>157000</v>
      </c>
      <c r="C84" s="7">
        <v>7</v>
      </c>
      <c r="D84" s="7">
        <v>53</v>
      </c>
    </row>
    <row r="85" spans="1:4" ht="15" x14ac:dyDescent="0.2">
      <c r="A85" s="16" t="str">
        <f>'Block of Business'!A85</f>
        <v>Client # 84</v>
      </c>
      <c r="B85" s="19">
        <v>1185000</v>
      </c>
      <c r="C85" s="7">
        <v>30</v>
      </c>
      <c r="D85" s="7">
        <v>94</v>
      </c>
    </row>
    <row r="86" spans="1:4" ht="15" x14ac:dyDescent="0.2">
      <c r="A86" s="16" t="str">
        <f>'Block of Business'!A86</f>
        <v>Client # 85</v>
      </c>
      <c r="B86" s="19">
        <v>150000</v>
      </c>
      <c r="C86" s="7">
        <v>10</v>
      </c>
      <c r="D86" s="7">
        <v>60</v>
      </c>
    </row>
    <row r="87" spans="1:4" ht="15" x14ac:dyDescent="0.2">
      <c r="A87" s="16" t="str">
        <f>'Block of Business'!A87</f>
        <v>Client # 86</v>
      </c>
      <c r="B87" s="19">
        <v>150000</v>
      </c>
      <c r="C87" s="7">
        <v>5</v>
      </c>
      <c r="D87" s="7">
        <v>56</v>
      </c>
    </row>
    <row r="88" spans="1:4" ht="15" x14ac:dyDescent="0.2">
      <c r="A88" s="16" t="str">
        <f>'Block of Business'!A88</f>
        <v>Client # 87</v>
      </c>
      <c r="B88" s="19">
        <v>210000</v>
      </c>
      <c r="C88" s="7">
        <v>7</v>
      </c>
      <c r="D88" s="7">
        <v>73</v>
      </c>
    </row>
    <row r="89" spans="1:4" ht="15" x14ac:dyDescent="0.2">
      <c r="A89" s="16" t="str">
        <f>'Block of Business'!A89</f>
        <v>Client # 88</v>
      </c>
      <c r="B89" s="19">
        <v>90000</v>
      </c>
      <c r="C89" s="7">
        <v>6</v>
      </c>
      <c r="D89" s="7">
        <v>78</v>
      </c>
    </row>
    <row r="90" spans="1:4" ht="15" x14ac:dyDescent="0.2">
      <c r="A90" s="16" t="str">
        <f>'Block of Business'!A90</f>
        <v>Client # 89</v>
      </c>
      <c r="B90" s="19">
        <v>1050000</v>
      </c>
      <c r="C90" s="7">
        <v>25</v>
      </c>
      <c r="D90" s="7">
        <v>94</v>
      </c>
    </row>
    <row r="91" spans="1:4" ht="15" x14ac:dyDescent="0.2">
      <c r="A91" s="16" t="str">
        <f>'Block of Business'!A91</f>
        <v>Client # 90</v>
      </c>
      <c r="B91" s="19">
        <v>1079000</v>
      </c>
      <c r="C91" s="7">
        <v>26</v>
      </c>
      <c r="D91" s="7">
        <v>94</v>
      </c>
    </row>
    <row r="92" spans="1:4" ht="15" x14ac:dyDescent="0.2">
      <c r="A92" s="16" t="str">
        <f>'Block of Business'!A92</f>
        <v>Client # 91</v>
      </c>
      <c r="B92" s="19">
        <v>324000</v>
      </c>
      <c r="C92" s="7">
        <v>45</v>
      </c>
      <c r="D92" s="7">
        <v>110</v>
      </c>
    </row>
    <row r="93" spans="1:4" ht="15" x14ac:dyDescent="0.2">
      <c r="A93" s="16" t="str">
        <f>'Block of Business'!A93</f>
        <v>Client # 92</v>
      </c>
      <c r="B93" s="19">
        <v>223200</v>
      </c>
      <c r="C93" s="7">
        <v>31</v>
      </c>
      <c r="D93" s="7">
        <v>110</v>
      </c>
    </row>
    <row r="94" spans="1:4" ht="15" x14ac:dyDescent="0.2">
      <c r="A94" s="16" t="str">
        <f>'Block of Business'!A94</f>
        <v>Client # 93</v>
      </c>
      <c r="B94" s="19">
        <v>270000</v>
      </c>
      <c r="C94" s="7">
        <v>9</v>
      </c>
      <c r="D94" s="7">
        <v>85</v>
      </c>
    </row>
    <row r="95" spans="1:4" ht="15" x14ac:dyDescent="0.2">
      <c r="A95" s="16" t="str">
        <f>'Block of Business'!A95</f>
        <v>Client # 94</v>
      </c>
      <c r="B95" s="19">
        <v>374400</v>
      </c>
      <c r="C95" s="7">
        <v>52</v>
      </c>
      <c r="D95" s="7">
        <v>110</v>
      </c>
    </row>
    <row r="96" spans="1:4" ht="15" x14ac:dyDescent="0.2">
      <c r="A96" s="16" t="str">
        <f>'Block of Business'!A96</f>
        <v>Client # 95</v>
      </c>
      <c r="B96" s="19">
        <v>331200</v>
      </c>
      <c r="C96" s="7">
        <v>46</v>
      </c>
      <c r="D96" s="7">
        <v>110</v>
      </c>
    </row>
    <row r="97" spans="1:4" ht="15" x14ac:dyDescent="0.2">
      <c r="A97" s="16" t="str">
        <f>'Block of Business'!A97</f>
        <v>Client # 96</v>
      </c>
      <c r="B97" s="19">
        <v>302400</v>
      </c>
      <c r="C97" s="7">
        <v>42</v>
      </c>
      <c r="D97" s="7">
        <v>110</v>
      </c>
    </row>
    <row r="98" spans="1:4" ht="15" x14ac:dyDescent="0.2">
      <c r="A98" s="16" t="str">
        <f>'Block of Business'!A98</f>
        <v>Client # 97</v>
      </c>
      <c r="B98" s="19">
        <v>180000</v>
      </c>
      <c r="C98" s="7">
        <v>12</v>
      </c>
      <c r="D98" s="7">
        <v>91</v>
      </c>
    </row>
    <row r="99" spans="1:4" ht="15" x14ac:dyDescent="0.2">
      <c r="A99" s="16" t="str">
        <f>'Block of Business'!A99</f>
        <v>Client # 98</v>
      </c>
      <c r="B99" s="19">
        <v>367200</v>
      </c>
      <c r="C99" s="7">
        <v>51</v>
      </c>
      <c r="D99" s="7">
        <v>110</v>
      </c>
    </row>
    <row r="100" spans="1:4" ht="15" x14ac:dyDescent="0.2">
      <c r="A100" s="16" t="str">
        <f>'Block of Business'!A100</f>
        <v>Client # 99</v>
      </c>
      <c r="B100" s="19">
        <v>432000</v>
      </c>
      <c r="C100" s="7">
        <v>60</v>
      </c>
      <c r="D100" s="7">
        <v>110</v>
      </c>
    </row>
    <row r="101" spans="1:4" ht="15" x14ac:dyDescent="0.2">
      <c r="A101" s="16" t="str">
        <f>'Block of Business'!A101</f>
        <v>Client # 100</v>
      </c>
      <c r="B101" s="19">
        <v>295200</v>
      </c>
      <c r="C101" s="7">
        <v>41</v>
      </c>
      <c r="D101" s="7">
        <v>110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0459B-22B2-B848-BB9F-2DE3446649F2}">
  <sheetPr codeName="Sheet5"/>
  <dimension ref="A6:P123"/>
  <sheetViews>
    <sheetView workbookViewId="0">
      <selection activeCell="G23" sqref="G23"/>
    </sheetView>
  </sheetViews>
  <sheetFormatPr baseColWidth="10" defaultRowHeight="13" x14ac:dyDescent="0.15"/>
  <cols>
    <col min="1" max="1" width="20.83203125" bestFit="1" customWidth="1"/>
    <col min="2" max="2" width="13.1640625" bestFit="1" customWidth="1"/>
    <col min="3" max="3" width="13.6640625" bestFit="1" customWidth="1"/>
    <col min="4" max="4" width="15.83203125" customWidth="1"/>
    <col min="5" max="5" width="13.6640625" bestFit="1" customWidth="1"/>
    <col min="6" max="6" width="14.6640625" bestFit="1" customWidth="1"/>
    <col min="7" max="7" width="13.6640625" bestFit="1" customWidth="1"/>
    <col min="8" max="8" width="12.1640625" bestFit="1" customWidth="1"/>
    <col min="9" max="9" width="13.6640625" bestFit="1" customWidth="1"/>
    <col min="10" max="10" width="20.83203125" bestFit="1" customWidth="1"/>
    <col min="11" max="11" width="14.6640625" bestFit="1" customWidth="1"/>
  </cols>
  <sheetData>
    <row r="6" spans="1:16" x14ac:dyDescent="0.15">
      <c r="B6" s="27" t="s">
        <v>122</v>
      </c>
      <c r="C6" s="27">
        <v>1</v>
      </c>
      <c r="D6" s="27">
        <f t="shared" ref="D6:I6" si="0">C6+1</f>
        <v>2</v>
      </c>
      <c r="E6" s="27">
        <f t="shared" si="0"/>
        <v>3</v>
      </c>
      <c r="F6" s="27">
        <f t="shared" si="0"/>
        <v>4</v>
      </c>
      <c r="G6" s="27">
        <f t="shared" si="0"/>
        <v>5</v>
      </c>
      <c r="H6" s="27">
        <f t="shared" si="0"/>
        <v>6</v>
      </c>
      <c r="I6" s="27">
        <f t="shared" si="0"/>
        <v>7</v>
      </c>
    </row>
    <row r="7" spans="1:16" x14ac:dyDescent="0.15">
      <c r="B7" s="28" t="s">
        <v>123</v>
      </c>
      <c r="C7" s="19">
        <f>SUMIFS('All Payments'!$B$2:$B$101,'Block of Business'!$B$2:$B$101,C6)</f>
        <v>4110000</v>
      </c>
      <c r="D7" s="19">
        <f>SUMIFS('All Payments'!$B$2:$B$101,'Block of Business'!$B$2:$B$101,D6)</f>
        <v>19853000</v>
      </c>
      <c r="E7" s="19">
        <f>SUMIFS('All Payments'!$B$2:$B$101,'Block of Business'!$B$2:$B$101,E6)</f>
        <v>7927200</v>
      </c>
      <c r="F7" s="19">
        <f>SUMIFS('All Payments'!$B$2:$B$101,'Block of Business'!$B$2:$B$101,F6)</f>
        <v>29274000</v>
      </c>
      <c r="G7" s="19">
        <f>SUMIFS('All Payments'!$B$2:$B$101,'Block of Business'!$B$2:$B$101,G6)</f>
        <v>2897000</v>
      </c>
      <c r="H7" s="19">
        <f>SUMIFS('All Payments'!$B$2:$B$101,'Block of Business'!$B$2:$B$101,H6)</f>
        <v>500000</v>
      </c>
      <c r="I7" s="19">
        <f>SUMIFS('All Payments'!$B$2:$B$101,'Block of Business'!$B$2:$B$101,I6)</f>
        <v>2910000</v>
      </c>
      <c r="K7" s="20"/>
    </row>
    <row r="14" spans="1:16" x14ac:dyDescent="0.15">
      <c r="K14" s="22"/>
      <c r="L14" s="22"/>
      <c r="M14" s="22"/>
      <c r="N14" s="22"/>
      <c r="O14" s="22"/>
      <c r="P14" s="22"/>
    </row>
    <row r="15" spans="1:16" x14ac:dyDescent="0.15">
      <c r="A15" s="29" t="s">
        <v>126</v>
      </c>
      <c r="K15" s="21"/>
      <c r="L15" s="22"/>
      <c r="M15" s="21"/>
      <c r="N15" s="22"/>
      <c r="O15" s="21"/>
      <c r="P15" s="22"/>
    </row>
    <row r="16" spans="1:16" x14ac:dyDescent="0.15">
      <c r="A16" s="32">
        <f>SUM('All Payments'!G2:M2)</f>
        <v>228400</v>
      </c>
      <c r="K16" s="21"/>
      <c r="L16" s="22"/>
      <c r="M16" s="21"/>
      <c r="N16" s="22"/>
      <c r="O16" s="21"/>
      <c r="P16" s="22"/>
    </row>
    <row r="17" spans="1:16" x14ac:dyDescent="0.15">
      <c r="A17" s="32">
        <f>SUM('All Payments'!G3:M3)</f>
        <v>336800</v>
      </c>
      <c r="K17" s="21"/>
      <c r="L17" s="22"/>
      <c r="M17" s="21"/>
      <c r="N17" s="22"/>
      <c r="O17" s="21"/>
      <c r="P17" s="22"/>
    </row>
    <row r="18" spans="1:16" x14ac:dyDescent="0.15">
      <c r="A18" s="32">
        <f>SUM('All Payments'!G4:M4)</f>
        <v>490200</v>
      </c>
      <c r="K18" s="21"/>
      <c r="L18" s="22"/>
      <c r="M18" s="21"/>
      <c r="N18" s="22"/>
      <c r="O18" s="21"/>
      <c r="P18" s="22"/>
    </row>
    <row r="19" spans="1:16" x14ac:dyDescent="0.15">
      <c r="A19" s="32">
        <f>SUM('All Payments'!G5:M5)</f>
        <v>584600</v>
      </c>
      <c r="K19" s="21"/>
      <c r="L19" s="22"/>
      <c r="M19" s="21"/>
      <c r="N19" s="22"/>
      <c r="O19" s="21"/>
      <c r="P19" s="22"/>
    </row>
    <row r="20" spans="1:16" x14ac:dyDescent="0.15">
      <c r="A20" s="32">
        <f>SUM('All Payments'!G6:M6)</f>
        <v>706800</v>
      </c>
      <c r="K20" s="21"/>
      <c r="L20" s="22"/>
      <c r="M20" s="21"/>
      <c r="N20" s="22"/>
      <c r="O20" s="21"/>
      <c r="P20" s="22"/>
    </row>
    <row r="21" spans="1:16" x14ac:dyDescent="0.15">
      <c r="A21" s="32">
        <f>SUM('All Payments'!G7:M7)</f>
        <v>795000</v>
      </c>
      <c r="K21" s="21"/>
      <c r="L21" s="22"/>
      <c r="M21" s="21"/>
      <c r="N21" s="22"/>
      <c r="O21" s="21"/>
      <c r="P21" s="22"/>
    </row>
    <row r="22" spans="1:16" x14ac:dyDescent="0.15">
      <c r="A22" s="32">
        <f>SUM('All Payments'!G8:M8)</f>
        <v>945000</v>
      </c>
      <c r="K22" s="21"/>
      <c r="L22" s="22"/>
      <c r="M22" s="21"/>
      <c r="N22" s="22"/>
      <c r="O22" s="21"/>
      <c r="P22" s="22"/>
    </row>
    <row r="23" spans="1:16" x14ac:dyDescent="0.15">
      <c r="A23" s="32">
        <f>SUM('All Payments'!G9:M9)</f>
        <v>985200</v>
      </c>
      <c r="K23" s="21"/>
      <c r="L23" s="22"/>
      <c r="M23" s="21"/>
      <c r="N23" s="22"/>
      <c r="O23" s="21"/>
      <c r="P23" s="22"/>
    </row>
    <row r="24" spans="1:16" x14ac:dyDescent="0.15">
      <c r="A24" s="32">
        <f>SUM('All Payments'!G10:M10)</f>
        <v>1093200</v>
      </c>
      <c r="K24" s="21"/>
      <c r="L24" s="22"/>
      <c r="M24" s="21"/>
      <c r="N24" s="22"/>
      <c r="O24" s="21"/>
      <c r="P24" s="22"/>
    </row>
    <row r="25" spans="1:16" x14ac:dyDescent="0.15">
      <c r="A25" s="32">
        <f>SUM('All Payments'!G11:M11)</f>
        <v>1177400</v>
      </c>
      <c r="K25" s="21"/>
      <c r="L25" s="22"/>
      <c r="M25" s="21"/>
      <c r="N25" s="22"/>
      <c r="O25" s="21"/>
      <c r="P25" s="22"/>
    </row>
    <row r="26" spans="1:16" x14ac:dyDescent="0.15">
      <c r="A26" s="32">
        <f>SUM('All Payments'!G12:M12)</f>
        <v>1469000</v>
      </c>
      <c r="K26" s="21"/>
      <c r="L26" s="22"/>
      <c r="M26" s="21"/>
      <c r="N26" s="22"/>
      <c r="O26" s="21"/>
      <c r="P26" s="22"/>
    </row>
    <row r="27" spans="1:16" x14ac:dyDescent="0.15">
      <c r="A27" s="32">
        <f>SUM('All Payments'!G13:M13)</f>
        <v>1434200</v>
      </c>
      <c r="K27" s="21"/>
      <c r="L27" s="22"/>
      <c r="M27" s="21"/>
      <c r="N27" s="22"/>
      <c r="O27" s="21"/>
      <c r="P27" s="22"/>
    </row>
    <row r="28" spans="1:16" x14ac:dyDescent="0.15">
      <c r="A28" s="32">
        <f>SUM('All Payments'!G14:M14)</f>
        <v>1488800</v>
      </c>
      <c r="K28" s="21"/>
      <c r="L28" s="22"/>
      <c r="M28" s="21"/>
      <c r="N28" s="22"/>
      <c r="O28" s="21"/>
      <c r="P28" s="22"/>
    </row>
    <row r="29" spans="1:16" x14ac:dyDescent="0.15">
      <c r="A29" s="32">
        <f>SUM('All Payments'!G15:M15)</f>
        <v>1550755.56</v>
      </c>
      <c r="K29" s="21"/>
      <c r="L29" s="22"/>
      <c r="M29" s="21"/>
      <c r="N29" s="22"/>
      <c r="O29" s="21"/>
      <c r="P29" s="22"/>
    </row>
    <row r="30" spans="1:16" x14ac:dyDescent="0.15">
      <c r="A30" s="32">
        <f>SUM('All Payments'!G16:M16)</f>
        <v>1771241.28</v>
      </c>
      <c r="K30" s="21"/>
      <c r="L30" s="22"/>
      <c r="M30" s="21"/>
      <c r="N30" s="22"/>
      <c r="O30" s="21"/>
      <c r="P30" s="22"/>
    </row>
    <row r="31" spans="1:16" x14ac:dyDescent="0.15">
      <c r="A31" s="32">
        <f>SUM('All Payments'!G17:M17)</f>
        <v>1720441.28</v>
      </c>
      <c r="K31" s="21"/>
      <c r="L31" s="22"/>
      <c r="M31" s="21"/>
      <c r="N31" s="22"/>
      <c r="O31" s="21"/>
      <c r="P31" s="22"/>
    </row>
    <row r="32" spans="1:16" x14ac:dyDescent="0.15">
      <c r="A32" s="32">
        <f>SUM('All Payments'!G18:M18)</f>
        <v>1841441.28</v>
      </c>
      <c r="K32" s="21"/>
      <c r="L32" s="22"/>
      <c r="M32" s="21"/>
      <c r="N32" s="22"/>
      <c r="O32" s="21"/>
      <c r="P32" s="22"/>
    </row>
    <row r="33" spans="1:16" x14ac:dyDescent="0.15">
      <c r="A33" s="32">
        <f>SUM('All Payments'!G19:M19)</f>
        <v>1758441.28</v>
      </c>
      <c r="K33" s="21"/>
      <c r="L33" s="22"/>
      <c r="M33" s="21"/>
      <c r="N33" s="22"/>
      <c r="O33" s="21"/>
      <c r="P33" s="22"/>
    </row>
    <row r="34" spans="1:16" x14ac:dyDescent="0.15">
      <c r="A34" s="32">
        <f>SUM('All Payments'!G20:M20)</f>
        <v>1810441.28</v>
      </c>
      <c r="K34" s="21"/>
      <c r="L34" s="22"/>
      <c r="M34" s="21"/>
      <c r="N34" s="22"/>
      <c r="O34" s="21"/>
      <c r="P34" s="22"/>
    </row>
    <row r="35" spans="1:16" x14ac:dyDescent="0.15">
      <c r="A35" s="32">
        <f>SUM('All Payments'!G21:M21)</f>
        <v>1774441.28</v>
      </c>
      <c r="K35" s="21"/>
      <c r="L35" s="22"/>
      <c r="M35" s="21"/>
      <c r="N35" s="22"/>
      <c r="O35" s="21"/>
      <c r="P35" s="22"/>
    </row>
    <row r="36" spans="1:16" x14ac:dyDescent="0.15">
      <c r="A36" s="32">
        <f>SUM('All Payments'!G22:M22)</f>
        <v>1758441.24</v>
      </c>
      <c r="K36" s="21"/>
      <c r="L36" s="22"/>
      <c r="M36" s="21"/>
      <c r="N36" s="22"/>
      <c r="O36" s="21"/>
      <c r="P36" s="22"/>
    </row>
    <row r="37" spans="1:16" x14ac:dyDescent="0.15">
      <c r="A37" s="32">
        <f>SUM('All Payments'!G23:M23)</f>
        <v>1708155.56</v>
      </c>
      <c r="K37" s="21"/>
      <c r="L37" s="22"/>
      <c r="M37" s="21"/>
      <c r="N37" s="22"/>
      <c r="O37" s="21"/>
      <c r="P37" s="22"/>
    </row>
    <row r="38" spans="1:16" x14ac:dyDescent="0.15">
      <c r="A38" s="32">
        <f>SUM('All Payments'!G24:M24)</f>
        <v>1753155.56</v>
      </c>
      <c r="K38" s="21"/>
      <c r="L38" s="22"/>
      <c r="M38" s="21"/>
      <c r="N38" s="22"/>
      <c r="O38" s="21"/>
      <c r="P38" s="22"/>
    </row>
    <row r="39" spans="1:16" x14ac:dyDescent="0.15">
      <c r="A39" s="32">
        <f>SUM('All Payments'!G25:M25)</f>
        <v>1747155.56</v>
      </c>
      <c r="K39" s="21"/>
      <c r="L39" s="22"/>
      <c r="M39" s="21"/>
      <c r="N39" s="22"/>
      <c r="O39" s="21"/>
      <c r="P39" s="22"/>
    </row>
    <row r="40" spans="1:16" x14ac:dyDescent="0.15">
      <c r="A40" s="32">
        <f>SUM('All Payments'!G26:M26)</f>
        <v>1767155.56</v>
      </c>
      <c r="K40" s="21"/>
      <c r="L40" s="22"/>
      <c r="M40" s="21"/>
      <c r="N40" s="22"/>
      <c r="O40" s="21"/>
      <c r="P40" s="22"/>
    </row>
    <row r="41" spans="1:16" x14ac:dyDescent="0.15">
      <c r="A41" s="32">
        <f>SUM('All Payments'!G27:M27)</f>
        <v>1713155.56</v>
      </c>
      <c r="K41" s="21"/>
      <c r="L41" s="22"/>
      <c r="M41" s="21"/>
      <c r="N41" s="22"/>
      <c r="O41" s="21"/>
      <c r="P41" s="22"/>
    </row>
    <row r="42" spans="1:16" x14ac:dyDescent="0.15">
      <c r="A42" s="32">
        <f>SUM('All Payments'!G28:M28)</f>
        <v>1583155.56</v>
      </c>
      <c r="K42" s="21"/>
      <c r="L42" s="22"/>
      <c r="M42" s="21"/>
      <c r="N42" s="22"/>
      <c r="O42" s="21"/>
      <c r="P42" s="22"/>
    </row>
    <row r="43" spans="1:16" x14ac:dyDescent="0.15">
      <c r="A43" s="32">
        <f>SUM('All Payments'!G29:M29)</f>
        <v>1617155.56</v>
      </c>
      <c r="K43" s="21"/>
      <c r="L43" s="22"/>
      <c r="M43" s="21"/>
      <c r="N43" s="22"/>
      <c r="O43" s="21"/>
      <c r="P43" s="22"/>
    </row>
    <row r="44" spans="1:16" x14ac:dyDescent="0.15">
      <c r="A44" s="32">
        <f>SUM('All Payments'!G30:M30)</f>
        <v>1551155.56</v>
      </c>
      <c r="K44" s="21"/>
      <c r="L44" s="22"/>
      <c r="M44" s="21"/>
      <c r="N44" s="22"/>
      <c r="O44" s="21"/>
      <c r="P44" s="22"/>
    </row>
    <row r="45" spans="1:16" x14ac:dyDescent="0.15">
      <c r="A45" s="32">
        <f>SUM('All Payments'!G31:M31)</f>
        <v>1579155.56</v>
      </c>
      <c r="K45" s="21"/>
      <c r="L45" s="22"/>
      <c r="M45" s="21"/>
      <c r="N45" s="22"/>
      <c r="O45" s="21"/>
      <c r="P45" s="22"/>
    </row>
    <row r="46" spans="1:16" x14ac:dyDescent="0.15">
      <c r="A46" s="32">
        <f>SUM('All Payments'!G32:M32)</f>
        <v>1572155.48</v>
      </c>
      <c r="K46" s="21"/>
      <c r="L46" s="22"/>
      <c r="M46" s="21"/>
      <c r="N46" s="22"/>
      <c r="O46" s="21"/>
      <c r="P46" s="22"/>
    </row>
    <row r="47" spans="1:16" x14ac:dyDescent="0.15">
      <c r="A47" s="32">
        <f>SUM('All Payments'!G33:M33)</f>
        <v>1594600</v>
      </c>
      <c r="K47" s="21"/>
      <c r="L47" s="22"/>
      <c r="M47" s="21"/>
      <c r="N47" s="22"/>
      <c r="O47" s="21"/>
      <c r="P47" s="22"/>
    </row>
    <row r="48" spans="1:16" x14ac:dyDescent="0.15">
      <c r="A48" s="32">
        <f>SUM('All Payments'!G34:M34)</f>
        <v>1502600</v>
      </c>
      <c r="K48" s="21"/>
      <c r="L48" s="22"/>
      <c r="M48" s="21"/>
      <c r="N48" s="22"/>
      <c r="O48" s="21"/>
      <c r="P48" s="22"/>
    </row>
    <row r="49" spans="1:16" x14ac:dyDescent="0.15">
      <c r="A49" s="32">
        <f>SUM('All Payments'!G35:M35)</f>
        <v>1524600</v>
      </c>
      <c r="K49" s="21"/>
      <c r="L49" s="22"/>
      <c r="M49" s="21"/>
      <c r="N49" s="22"/>
      <c r="O49" s="21"/>
      <c r="P49" s="22"/>
    </row>
    <row r="50" spans="1:16" x14ac:dyDescent="0.15">
      <c r="A50" s="32">
        <f>SUM('All Payments'!G36:M36)</f>
        <v>1546600</v>
      </c>
      <c r="K50" s="21"/>
      <c r="L50" s="22"/>
      <c r="M50" s="21"/>
      <c r="N50" s="22"/>
      <c r="O50" s="21"/>
      <c r="P50" s="22"/>
    </row>
    <row r="51" spans="1:16" x14ac:dyDescent="0.15">
      <c r="A51" s="32">
        <f>SUM('All Payments'!G37:M37)</f>
        <v>1513600</v>
      </c>
      <c r="K51" s="21"/>
      <c r="L51" s="22"/>
      <c r="M51" s="21"/>
      <c r="N51" s="22"/>
      <c r="O51" s="21"/>
      <c r="P51" s="22"/>
    </row>
    <row r="52" spans="1:16" x14ac:dyDescent="0.15">
      <c r="A52" s="32">
        <f>SUM('All Payments'!G38:M38)</f>
        <v>1534600</v>
      </c>
      <c r="K52" s="21"/>
      <c r="L52" s="22"/>
      <c r="M52" s="21"/>
      <c r="N52" s="22"/>
      <c r="O52" s="21"/>
      <c r="P52" s="22"/>
    </row>
    <row r="53" spans="1:16" x14ac:dyDescent="0.15">
      <c r="A53" s="32">
        <f>SUM('All Payments'!G39:M39)</f>
        <v>1289600</v>
      </c>
      <c r="K53" s="21"/>
      <c r="L53" s="22"/>
      <c r="M53" s="21"/>
      <c r="N53" s="22"/>
      <c r="O53" s="21"/>
      <c r="P53" s="22"/>
    </row>
    <row r="54" spans="1:16" x14ac:dyDescent="0.15">
      <c r="A54" s="32">
        <f>SUM('All Payments'!G40:M40)</f>
        <v>1306600</v>
      </c>
      <c r="K54" s="21"/>
      <c r="L54" s="22"/>
      <c r="M54" s="21"/>
      <c r="N54" s="22"/>
      <c r="O54" s="21"/>
      <c r="P54" s="22"/>
    </row>
    <row r="55" spans="1:16" x14ac:dyDescent="0.15">
      <c r="A55" s="32">
        <f>SUM('All Payments'!G41:M41)</f>
        <v>1268600</v>
      </c>
      <c r="K55" s="21"/>
      <c r="L55" s="22"/>
      <c r="M55" s="21"/>
      <c r="N55" s="22"/>
      <c r="O55" s="21"/>
      <c r="P55" s="22"/>
    </row>
    <row r="56" spans="1:16" x14ac:dyDescent="0.15">
      <c r="A56" s="32">
        <f>SUM('All Payments'!G42:M42)</f>
        <v>1284600</v>
      </c>
      <c r="K56" s="21"/>
      <c r="L56" s="22"/>
      <c r="M56" s="21"/>
      <c r="N56" s="22"/>
      <c r="O56" s="21"/>
      <c r="P56" s="22"/>
    </row>
    <row r="57" spans="1:16" x14ac:dyDescent="0.15">
      <c r="A57" s="32">
        <f>SUM('All Payments'!G43:M43)</f>
        <v>1238400</v>
      </c>
      <c r="K57" s="21"/>
      <c r="L57" s="22"/>
      <c r="M57" s="21"/>
      <c r="N57" s="22"/>
      <c r="O57" s="21"/>
      <c r="P57" s="22"/>
    </row>
    <row r="58" spans="1:16" x14ac:dyDescent="0.15">
      <c r="A58" s="32">
        <f>SUM('All Payments'!G44:M44)</f>
        <v>1253400</v>
      </c>
      <c r="K58" s="21"/>
      <c r="L58" s="22"/>
      <c r="M58" s="21"/>
      <c r="N58" s="22"/>
      <c r="O58" s="21"/>
      <c r="P58" s="22"/>
    </row>
    <row r="59" spans="1:16" x14ac:dyDescent="0.15">
      <c r="A59" s="32">
        <f>SUM('All Payments'!G45:M45)</f>
        <v>1098000</v>
      </c>
      <c r="K59" s="21"/>
      <c r="L59" s="22"/>
      <c r="M59" s="21"/>
      <c r="N59" s="22"/>
      <c r="O59" s="21"/>
      <c r="P59" s="22"/>
    </row>
    <row r="60" spans="1:16" x14ac:dyDescent="0.15">
      <c r="A60" s="32">
        <f>SUM('All Payments'!G46:M46)</f>
        <v>1103800</v>
      </c>
      <c r="K60" s="21"/>
      <c r="L60" s="22"/>
      <c r="M60" s="21"/>
      <c r="N60" s="22"/>
      <c r="O60" s="21"/>
      <c r="P60" s="22"/>
    </row>
    <row r="61" spans="1:16" x14ac:dyDescent="0.15">
      <c r="A61" s="32">
        <f>SUM('All Payments'!G47:M47)</f>
        <v>1001400</v>
      </c>
      <c r="K61" s="21"/>
      <c r="L61" s="22"/>
      <c r="M61" s="21"/>
      <c r="N61" s="22"/>
      <c r="O61" s="21"/>
      <c r="P61" s="22"/>
    </row>
    <row r="62" spans="1:16" x14ac:dyDescent="0.15">
      <c r="A62" s="32">
        <f>SUM('All Payments'!G48:M48)</f>
        <v>802400</v>
      </c>
      <c r="K62" s="21"/>
      <c r="L62" s="22"/>
      <c r="M62" s="21"/>
      <c r="N62" s="22"/>
      <c r="O62" s="21"/>
      <c r="P62" s="22"/>
    </row>
    <row r="63" spans="1:16" x14ac:dyDescent="0.15">
      <c r="A63" s="32">
        <f>SUM('All Payments'!G49:M49)</f>
        <v>811400</v>
      </c>
      <c r="K63" s="21"/>
      <c r="L63" s="22"/>
      <c r="M63" s="21"/>
      <c r="N63" s="22"/>
      <c r="O63" s="21"/>
      <c r="P63" s="22"/>
    </row>
    <row r="64" spans="1:16" x14ac:dyDescent="0.15">
      <c r="A64" s="32">
        <f>SUM('All Payments'!G50:M50)</f>
        <v>650000</v>
      </c>
      <c r="K64" s="21"/>
      <c r="L64" s="22"/>
      <c r="M64" s="21"/>
      <c r="N64" s="22"/>
      <c r="O64" s="21"/>
      <c r="P64" s="22"/>
    </row>
    <row r="65" spans="1:16" x14ac:dyDescent="0.15">
      <c r="A65" s="32">
        <f>SUM('All Payments'!G51:M51)</f>
        <v>602000</v>
      </c>
      <c r="K65" s="21"/>
      <c r="L65" s="22"/>
      <c r="M65" s="21"/>
      <c r="N65" s="22"/>
      <c r="O65" s="21"/>
      <c r="P65" s="22"/>
    </row>
    <row r="66" spans="1:16" x14ac:dyDescent="0.15">
      <c r="A66" s="32">
        <f>SUM('All Payments'!G52:M52)</f>
        <v>499800</v>
      </c>
      <c r="K66" s="21"/>
      <c r="L66" s="22"/>
      <c r="M66" s="21"/>
      <c r="N66" s="22"/>
      <c r="O66" s="21"/>
      <c r="P66" s="22"/>
    </row>
    <row r="67" spans="1:16" x14ac:dyDescent="0.15">
      <c r="A67" s="32">
        <f>SUM('All Payments'!G53:M53)</f>
        <v>302800</v>
      </c>
      <c r="K67" s="21"/>
      <c r="L67" s="22"/>
      <c r="M67" s="21"/>
      <c r="N67" s="22"/>
      <c r="O67" s="21"/>
      <c r="P67" s="22"/>
    </row>
    <row r="68" spans="1:16" x14ac:dyDescent="0.15">
      <c r="A68" s="32">
        <f>SUM('All Payments'!G54:M54)</f>
        <v>305800</v>
      </c>
      <c r="K68" s="21"/>
      <c r="L68" s="22"/>
      <c r="M68" s="21"/>
      <c r="N68" s="22"/>
      <c r="O68" s="21"/>
      <c r="P68" s="22"/>
    </row>
    <row r="69" spans="1:16" x14ac:dyDescent="0.15">
      <c r="A69" s="32">
        <f>SUM('All Payments'!G55:M55)</f>
        <v>246600</v>
      </c>
      <c r="K69" s="21"/>
      <c r="L69" s="22"/>
      <c r="M69" s="21"/>
      <c r="N69" s="22"/>
      <c r="O69" s="21"/>
      <c r="P69" s="22"/>
    </row>
    <row r="70" spans="1:16" x14ac:dyDescent="0.15">
      <c r="A70" s="32">
        <f>SUM('All Payments'!G56:M56)</f>
        <v>179200</v>
      </c>
      <c r="K70" s="21"/>
      <c r="L70" s="22"/>
      <c r="M70" s="21"/>
      <c r="N70" s="22"/>
      <c r="O70" s="21"/>
      <c r="P70" s="22"/>
    </row>
    <row r="71" spans="1:16" x14ac:dyDescent="0.15">
      <c r="A71" s="32">
        <f>SUM('All Payments'!G57:M57)</f>
        <v>79200</v>
      </c>
      <c r="K71" s="21"/>
      <c r="L71" s="22"/>
      <c r="M71" s="21"/>
      <c r="N71" s="22"/>
      <c r="O71" s="21"/>
      <c r="P71" s="22"/>
    </row>
    <row r="72" spans="1:16" x14ac:dyDescent="0.15">
      <c r="A72" s="32">
        <f>SUM('All Payments'!G58:M58)</f>
        <v>72000</v>
      </c>
      <c r="K72" s="21"/>
      <c r="L72" s="22"/>
      <c r="M72" s="21"/>
      <c r="N72" s="22"/>
      <c r="O72" s="21"/>
      <c r="P72" s="22"/>
    </row>
    <row r="73" spans="1:16" x14ac:dyDescent="0.15">
      <c r="A73" s="32">
        <f>SUM('All Payments'!G59:M59)</f>
        <v>72000</v>
      </c>
      <c r="K73" s="21"/>
      <c r="L73" s="22"/>
      <c r="M73" s="21"/>
      <c r="N73" s="22"/>
      <c r="O73" s="21"/>
      <c r="P73" s="22"/>
    </row>
    <row r="74" spans="1:16" x14ac:dyDescent="0.15">
      <c r="A74" s="32">
        <f>SUM('All Payments'!G60:M60)</f>
        <v>64800</v>
      </c>
      <c r="K74" s="21"/>
      <c r="L74" s="22"/>
      <c r="M74" s="21"/>
      <c r="N74" s="22"/>
      <c r="O74" s="21"/>
      <c r="P74" s="22"/>
    </row>
    <row r="75" spans="1:16" x14ac:dyDescent="0.15">
      <c r="A75" s="32">
        <f>SUM('All Payments'!G61:M61)</f>
        <v>64800</v>
      </c>
      <c r="K75" s="21"/>
      <c r="L75" s="22"/>
      <c r="M75" s="21"/>
      <c r="N75" s="22"/>
      <c r="O75" s="21"/>
      <c r="P75" s="22"/>
    </row>
    <row r="76" spans="1:16" x14ac:dyDescent="0.15">
      <c r="A76" s="32">
        <f>SUM('All Payments'!G62:M62)</f>
        <v>50400</v>
      </c>
      <c r="K76" s="21"/>
      <c r="L76" s="22"/>
      <c r="M76" s="21"/>
      <c r="N76" s="22"/>
      <c r="O76" s="21"/>
      <c r="P76" s="22"/>
    </row>
    <row r="77" spans="1:16" x14ac:dyDescent="0.15">
      <c r="A77" s="32">
        <f>SUM('All Payments'!G63:M63)</f>
        <v>50400</v>
      </c>
      <c r="K77" s="21"/>
      <c r="L77" s="22"/>
      <c r="M77" s="21"/>
      <c r="N77" s="22"/>
      <c r="O77" s="21"/>
      <c r="P77" s="22"/>
    </row>
    <row r="78" spans="1:16" x14ac:dyDescent="0.15">
      <c r="A78" s="32">
        <f>SUM('All Payments'!G64:M64)</f>
        <v>43200</v>
      </c>
      <c r="K78" s="21"/>
      <c r="L78" s="22"/>
      <c r="M78" s="21"/>
      <c r="N78" s="22"/>
      <c r="O78" s="21"/>
      <c r="P78" s="22"/>
    </row>
    <row r="79" spans="1:16" x14ac:dyDescent="0.15">
      <c r="A79" s="32">
        <f>SUM('All Payments'!G65:M65)</f>
        <v>36000</v>
      </c>
      <c r="K79" s="21"/>
      <c r="L79" s="22"/>
      <c r="M79" s="21"/>
      <c r="N79" s="22"/>
      <c r="O79" s="21"/>
      <c r="P79" s="22"/>
    </row>
    <row r="80" spans="1:16" x14ac:dyDescent="0.15">
      <c r="A80" s="32">
        <f>SUM('All Payments'!G66:M66)</f>
        <v>36000</v>
      </c>
      <c r="K80" s="21"/>
      <c r="L80" s="22"/>
      <c r="M80" s="21"/>
      <c r="N80" s="22"/>
      <c r="O80" s="21"/>
      <c r="P80" s="22"/>
    </row>
    <row r="81" spans="1:16" x14ac:dyDescent="0.15">
      <c r="A81" s="32">
        <f>SUM('All Payments'!G67:M67)</f>
        <v>36000</v>
      </c>
      <c r="K81" s="21"/>
      <c r="L81" s="22"/>
      <c r="M81" s="21"/>
      <c r="N81" s="22"/>
      <c r="O81" s="21"/>
      <c r="P81" s="22"/>
    </row>
    <row r="82" spans="1:16" x14ac:dyDescent="0.15">
      <c r="A82" s="32">
        <f>SUM('All Payments'!G68:M68)</f>
        <v>21600</v>
      </c>
      <c r="K82" s="21"/>
      <c r="L82" s="22"/>
      <c r="M82" s="21"/>
      <c r="N82" s="22"/>
      <c r="O82" s="21"/>
      <c r="P82" s="22"/>
    </row>
    <row r="83" spans="1:16" x14ac:dyDescent="0.15">
      <c r="A83" s="32">
        <f>SUM('All Payments'!G69:M69)</f>
        <v>21600</v>
      </c>
      <c r="K83" s="21"/>
      <c r="L83" s="22"/>
      <c r="M83" s="21"/>
      <c r="N83" s="22"/>
      <c r="O83" s="21"/>
      <c r="P83" s="22"/>
    </row>
    <row r="84" spans="1:16" x14ac:dyDescent="0.15">
      <c r="A84" s="32">
        <f>SUM('All Payments'!G70:M70)</f>
        <v>21600</v>
      </c>
      <c r="K84" s="21"/>
      <c r="L84" s="22"/>
      <c r="M84" s="21"/>
      <c r="N84" s="22"/>
      <c r="O84" s="21"/>
      <c r="P84" s="22"/>
    </row>
    <row r="85" spans="1:16" x14ac:dyDescent="0.15">
      <c r="A85" s="32">
        <f>SUM('All Payments'!G71:M71)</f>
        <v>21600</v>
      </c>
      <c r="B85" s="22"/>
      <c r="C85" s="31"/>
      <c r="D85" s="21"/>
      <c r="E85" s="21"/>
      <c r="F85" s="21"/>
      <c r="G85" s="21"/>
      <c r="H85" s="21"/>
      <c r="I85" s="21"/>
      <c r="J85" s="22">
        <v>0</v>
      </c>
      <c r="K85" s="21"/>
      <c r="L85" s="22"/>
      <c r="M85" s="21"/>
      <c r="N85" s="22"/>
      <c r="O85" s="21"/>
      <c r="P85" s="22"/>
    </row>
    <row r="86" spans="1:16" x14ac:dyDescent="0.15">
      <c r="B86" s="22"/>
      <c r="C86" s="22"/>
    </row>
    <row r="87" spans="1:16" x14ac:dyDescent="0.15">
      <c r="B87" s="22"/>
    </row>
    <row r="88" spans="1:16" x14ac:dyDescent="0.15">
      <c r="B88" s="22"/>
      <c r="C88" s="22"/>
    </row>
    <row r="89" spans="1:16" x14ac:dyDescent="0.15">
      <c r="B89" s="22"/>
      <c r="C89" s="22"/>
    </row>
    <row r="90" spans="1:16" x14ac:dyDescent="0.15">
      <c r="B90" s="22"/>
      <c r="C90" s="22"/>
    </row>
    <row r="91" spans="1:16" x14ac:dyDescent="0.15">
      <c r="B91" s="22"/>
      <c r="C91" s="22"/>
    </row>
    <row r="92" spans="1:16" x14ac:dyDescent="0.15">
      <c r="B92" s="22"/>
      <c r="C92" s="22"/>
    </row>
    <row r="93" spans="1:16" x14ac:dyDescent="0.15">
      <c r="B93" s="22"/>
      <c r="C93" s="22"/>
    </row>
    <row r="94" spans="1:16" x14ac:dyDescent="0.15">
      <c r="B94" s="22"/>
      <c r="C94" s="22"/>
    </row>
    <row r="95" spans="1:16" x14ac:dyDescent="0.15">
      <c r="B95" s="22"/>
      <c r="C95" s="22"/>
    </row>
    <row r="96" spans="1:16" x14ac:dyDescent="0.15">
      <c r="B96" s="22"/>
      <c r="C96" s="22"/>
    </row>
    <row r="97" spans="2:3" x14ac:dyDescent="0.15">
      <c r="B97" s="22"/>
      <c r="C97" s="22"/>
    </row>
    <row r="98" spans="2:3" x14ac:dyDescent="0.15">
      <c r="B98" s="22"/>
      <c r="C98" s="22"/>
    </row>
    <row r="99" spans="2:3" x14ac:dyDescent="0.15">
      <c r="B99" s="22"/>
      <c r="C99" s="22"/>
    </row>
    <row r="100" spans="2:3" x14ac:dyDescent="0.15">
      <c r="B100" s="22"/>
      <c r="C100" s="22"/>
    </row>
    <row r="101" spans="2:3" x14ac:dyDescent="0.15">
      <c r="B101" s="22"/>
      <c r="C101" s="22"/>
    </row>
    <row r="102" spans="2:3" x14ac:dyDescent="0.15">
      <c r="B102" s="22"/>
      <c r="C102" s="22"/>
    </row>
    <row r="103" spans="2:3" x14ac:dyDescent="0.15">
      <c r="B103" s="22"/>
      <c r="C103" s="22"/>
    </row>
    <row r="104" spans="2:3" x14ac:dyDescent="0.15">
      <c r="B104" s="22"/>
      <c r="C104" s="22"/>
    </row>
    <row r="105" spans="2:3" x14ac:dyDescent="0.15">
      <c r="B105" s="22"/>
      <c r="C105" s="22"/>
    </row>
    <row r="106" spans="2:3" x14ac:dyDescent="0.15">
      <c r="B106" s="22"/>
      <c r="C106" s="22"/>
    </row>
    <row r="107" spans="2:3" x14ac:dyDescent="0.15">
      <c r="B107" s="22"/>
      <c r="C107" s="22"/>
    </row>
    <row r="108" spans="2:3" x14ac:dyDescent="0.15">
      <c r="B108" s="22"/>
      <c r="C108" s="22"/>
    </row>
    <row r="109" spans="2:3" x14ac:dyDescent="0.15">
      <c r="B109" s="22"/>
      <c r="C109" s="22"/>
    </row>
    <row r="110" spans="2:3" x14ac:dyDescent="0.15">
      <c r="B110" s="22"/>
      <c r="C110" s="22"/>
    </row>
    <row r="111" spans="2:3" x14ac:dyDescent="0.15">
      <c r="B111" s="22"/>
      <c r="C111" s="22"/>
    </row>
    <row r="112" spans="2:3" x14ac:dyDescent="0.15">
      <c r="B112" s="22"/>
      <c r="C112" s="22"/>
    </row>
    <row r="113" spans="2:3" x14ac:dyDescent="0.15">
      <c r="B113" s="22"/>
      <c r="C113" s="22"/>
    </row>
    <row r="114" spans="2:3" x14ac:dyDescent="0.15">
      <c r="B114" s="22"/>
      <c r="C114" s="22"/>
    </row>
    <row r="115" spans="2:3" x14ac:dyDescent="0.15">
      <c r="B115" s="22"/>
      <c r="C115" s="22"/>
    </row>
    <row r="116" spans="2:3" x14ac:dyDescent="0.15">
      <c r="B116" s="22"/>
      <c r="C116" s="22"/>
    </row>
    <row r="117" spans="2:3" x14ac:dyDescent="0.15">
      <c r="B117" s="22"/>
    </row>
    <row r="118" spans="2:3" x14ac:dyDescent="0.15">
      <c r="B118" s="22"/>
    </row>
    <row r="119" spans="2:3" x14ac:dyDescent="0.15">
      <c r="B119" s="22"/>
    </row>
    <row r="120" spans="2:3" x14ac:dyDescent="0.15">
      <c r="B120" s="22"/>
    </row>
    <row r="121" spans="2:3" x14ac:dyDescent="0.15">
      <c r="B121" s="22"/>
    </row>
    <row r="122" spans="2:3" x14ac:dyDescent="0.15">
      <c r="B122" s="22"/>
    </row>
    <row r="123" spans="2:3" x14ac:dyDescent="0.15">
      <c r="B123" s="2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7DB8C-917F-5E4A-9CA4-4FE536FD9E27}">
  <sheetPr codeName="Sheet6"/>
  <dimension ref="A1"/>
  <sheetViews>
    <sheetView tabSelected="1" zoomScale="81" workbookViewId="0">
      <selection activeCell="K28" sqref="K28"/>
    </sheetView>
  </sheetViews>
  <sheetFormatPr baseColWidth="10" defaultRowHeight="13" x14ac:dyDescent="0.1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330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Plan Calculation</vt:lpstr>
      <vt:lpstr>Calculator</vt:lpstr>
      <vt:lpstr>Block of Business</vt:lpstr>
      <vt:lpstr>All Payments</vt:lpstr>
      <vt:lpstr>Summaries</vt:lpstr>
      <vt:lpstr>Graph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Ashwin Paramas</cp:lastModifiedBy>
  <cp:revision>56</cp:revision>
  <dcterms:created xsi:type="dcterms:W3CDTF">2020-06-27T19:21:24Z</dcterms:created>
  <dcterms:modified xsi:type="dcterms:W3CDTF">2020-07-17T23:53:37Z</dcterms:modified>
  <dc:language>en-US</dc:language>
</cp:coreProperties>
</file>